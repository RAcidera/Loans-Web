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https://cambria-my.sharepoint.com/personal/hr_cambria_com/Documents/HR FILES/MOS/GOVERNMENT/"/>
    </mc:Choice>
  </mc:AlternateContent>
  <xr:revisionPtr revIDLastSave="566" documentId="13_ncr:1_{6FC06DB4-E919-4DA6-9B55-16AF95B16825}" xr6:coauthVersionLast="47" xr6:coauthVersionMax="47" xr10:uidLastSave="{96CFBD87-4814-41EA-B730-48116CF72EF5}"/>
  <bookViews>
    <workbookView xWindow="-108" yWindow="-108" windowWidth="23256" windowHeight="12456" firstSheet="1" xr2:uid="{6464C4FA-1F88-445E-820F-F3241FFE06CD}"/>
  </bookViews>
  <sheets>
    <sheet name="Monthly" sheetId="12" r:id="rId1"/>
    <sheet name="Annual" sheetId="19" r:id="rId2"/>
  </sheets>
  <definedNames>
    <definedName name="_xlnm._FilterDatabase" localSheetId="0" hidden="1">Monthly!$A$2:$AH$45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5" i="12" l="1"/>
  <c r="D55" i="12"/>
  <c r="E55" i="12"/>
  <c r="H55" i="12"/>
  <c r="I55" i="12"/>
  <c r="B49" i="12"/>
  <c r="C45" i="12"/>
  <c r="D45" i="12"/>
  <c r="E45" i="12"/>
  <c r="F45" i="12"/>
  <c r="G45" i="12"/>
  <c r="H45" i="12"/>
  <c r="I45" i="12"/>
  <c r="J45" i="12"/>
  <c r="K45" i="12"/>
  <c r="L45" i="12"/>
  <c r="M45" i="12"/>
  <c r="N45" i="12"/>
  <c r="O45" i="12"/>
  <c r="P45" i="12"/>
  <c r="Q45" i="12"/>
  <c r="R45" i="12"/>
  <c r="S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B45" i="12"/>
  <c r="AF4" i="12"/>
  <c r="AF5" i="12"/>
  <c r="AF6" i="12"/>
  <c r="AF7" i="12"/>
  <c r="AF8" i="12"/>
  <c r="AF9" i="12"/>
  <c r="AF10" i="12"/>
  <c r="AF11" i="12"/>
  <c r="AF12" i="12"/>
  <c r="AF13" i="12"/>
  <c r="AF14" i="12"/>
  <c r="AF15" i="12"/>
  <c r="AF16" i="12"/>
  <c r="AF17" i="12"/>
  <c r="AF18" i="12"/>
  <c r="AF19" i="12"/>
  <c r="AF20" i="12"/>
  <c r="AF21" i="12"/>
  <c r="AF22" i="12"/>
  <c r="AF23" i="12"/>
  <c r="AF24" i="12"/>
  <c r="AF25" i="12"/>
  <c r="AF26" i="12"/>
  <c r="AF27" i="12"/>
  <c r="AF28" i="12"/>
  <c r="AF29" i="12"/>
  <c r="AF30" i="12"/>
  <c r="AF31" i="12"/>
  <c r="AF32" i="12"/>
  <c r="AF33" i="12"/>
  <c r="AF34" i="12"/>
  <c r="AF35" i="12"/>
  <c r="AF36" i="12"/>
  <c r="AF37" i="12"/>
  <c r="AF38" i="12"/>
  <c r="AF39" i="12"/>
  <c r="AF40" i="12"/>
  <c r="AF41" i="12"/>
  <c r="AF42" i="12"/>
  <c r="AF43" i="12"/>
  <c r="AF44" i="12"/>
  <c r="AF3" i="12"/>
  <c r="AE4" i="12"/>
  <c r="AE5" i="12"/>
  <c r="AE6" i="12"/>
  <c r="AE7" i="12"/>
  <c r="AE8" i="12"/>
  <c r="AE9" i="12"/>
  <c r="AE10" i="12"/>
  <c r="AE11" i="12"/>
  <c r="AE12" i="12"/>
  <c r="AE13" i="12"/>
  <c r="AE14" i="12"/>
  <c r="AE15" i="12"/>
  <c r="AE16" i="12"/>
  <c r="AE17" i="12"/>
  <c r="AE18" i="12"/>
  <c r="AE19" i="12"/>
  <c r="AE20" i="12"/>
  <c r="AE21" i="12"/>
  <c r="AE22" i="12"/>
  <c r="AE23" i="12"/>
  <c r="AE24" i="12"/>
  <c r="AE25" i="12"/>
  <c r="AE26" i="12"/>
  <c r="AE27" i="12"/>
  <c r="AE28" i="12"/>
  <c r="AE29" i="12"/>
  <c r="AE30" i="12"/>
  <c r="AE31" i="12"/>
  <c r="AE32" i="12"/>
  <c r="AE33" i="12"/>
  <c r="AE34" i="12"/>
  <c r="AE35" i="12"/>
  <c r="AE36" i="12"/>
  <c r="AE37" i="12"/>
  <c r="AE38" i="12"/>
  <c r="AE39" i="12"/>
  <c r="AE40" i="12"/>
  <c r="AE41" i="12"/>
  <c r="AE42" i="12"/>
  <c r="AE43" i="12"/>
  <c r="AE44" i="12"/>
  <c r="AE3" i="12"/>
  <c r="AD4" i="12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D18" i="12"/>
  <c r="AD19" i="12"/>
  <c r="AD20" i="12"/>
  <c r="AD21" i="12"/>
  <c r="AD22" i="12"/>
  <c r="AD23" i="12"/>
  <c r="AD24" i="12"/>
  <c r="AD25" i="12"/>
  <c r="AD26" i="12"/>
  <c r="AD27" i="12"/>
  <c r="AD28" i="12"/>
  <c r="AD29" i="12"/>
  <c r="AD30" i="12"/>
  <c r="AD31" i="12"/>
  <c r="AD32" i="12"/>
  <c r="AD33" i="12"/>
  <c r="AD34" i="12"/>
  <c r="AD35" i="12"/>
  <c r="AD36" i="12"/>
  <c r="AD37" i="12"/>
  <c r="AD38" i="12"/>
  <c r="AD39" i="12"/>
  <c r="AD40" i="12"/>
  <c r="AD41" i="12"/>
  <c r="AD42" i="12"/>
  <c r="AD43" i="12"/>
  <c r="AD44" i="12"/>
  <c r="AD3" i="12"/>
  <c r="AC4" i="12"/>
  <c r="AC5" i="12"/>
  <c r="AC6" i="12"/>
  <c r="AC7" i="12"/>
  <c r="AC8" i="12"/>
  <c r="AC9" i="12"/>
  <c r="AC10" i="12"/>
  <c r="AC11" i="12"/>
  <c r="AC12" i="12"/>
  <c r="AC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28" i="12"/>
  <c r="AC29" i="12"/>
  <c r="AC30" i="12"/>
  <c r="AC31" i="12"/>
  <c r="AC32" i="12"/>
  <c r="AC33" i="12"/>
  <c r="AC34" i="12"/>
  <c r="AC35" i="12"/>
  <c r="AC36" i="12"/>
  <c r="AC37" i="12"/>
  <c r="AC38" i="12"/>
  <c r="AC39" i="12"/>
  <c r="AC40" i="12"/>
  <c r="AC41" i="12"/>
  <c r="AC42" i="12"/>
  <c r="AC43" i="12"/>
  <c r="AC44" i="12"/>
  <c r="AC3" i="12"/>
  <c r="AB4" i="12"/>
  <c r="AB5" i="12"/>
  <c r="AB6" i="12"/>
  <c r="AB7" i="12"/>
  <c r="AB8" i="12"/>
  <c r="AB9" i="12"/>
  <c r="AB10" i="12"/>
  <c r="AB11" i="12"/>
  <c r="AB12" i="12"/>
  <c r="AB13" i="12"/>
  <c r="AB14" i="12"/>
  <c r="AB15" i="12"/>
  <c r="AB16" i="12"/>
  <c r="AB17" i="12"/>
  <c r="AB18" i="12"/>
  <c r="AB19" i="12"/>
  <c r="AB20" i="12"/>
  <c r="AB21" i="12"/>
  <c r="AB22" i="12"/>
  <c r="AB23" i="12"/>
  <c r="AB24" i="12"/>
  <c r="AB25" i="12"/>
  <c r="AB26" i="12"/>
  <c r="AB27" i="12"/>
  <c r="AB28" i="12"/>
  <c r="AB29" i="12"/>
  <c r="AB30" i="12"/>
  <c r="AB31" i="12"/>
  <c r="AB32" i="12"/>
  <c r="AB33" i="12"/>
  <c r="AB34" i="12"/>
  <c r="AB35" i="12"/>
  <c r="AB36" i="12"/>
  <c r="AB37" i="12"/>
  <c r="AB38" i="12"/>
  <c r="AB39" i="12"/>
  <c r="AB40" i="12"/>
  <c r="AB41" i="12"/>
  <c r="AB42" i="12"/>
  <c r="AB43" i="12"/>
  <c r="AB44" i="12"/>
  <c r="AB3" i="12"/>
  <c r="AA4" i="12"/>
  <c r="AA5" i="12"/>
  <c r="AA6" i="12"/>
  <c r="AA7" i="12"/>
  <c r="AA8" i="12"/>
  <c r="AA9" i="12"/>
  <c r="AA10" i="12"/>
  <c r="AA11" i="12"/>
  <c r="AA12" i="12"/>
  <c r="AA13" i="12"/>
  <c r="AA14" i="12"/>
  <c r="AA15" i="12"/>
  <c r="AA16" i="12"/>
  <c r="AA17" i="12"/>
  <c r="AA18" i="12"/>
  <c r="AA19" i="12"/>
  <c r="AA20" i="12"/>
  <c r="AA21" i="12"/>
  <c r="AA22" i="12"/>
  <c r="AA23" i="12"/>
  <c r="AA24" i="12"/>
  <c r="AA25" i="12"/>
  <c r="AA26" i="12"/>
  <c r="AA27" i="12"/>
  <c r="AA28" i="12"/>
  <c r="AA29" i="12"/>
  <c r="AA30" i="12"/>
  <c r="AA31" i="12"/>
  <c r="AA32" i="12"/>
  <c r="AA33" i="12"/>
  <c r="AA34" i="12"/>
  <c r="AA35" i="12"/>
  <c r="AA36" i="12"/>
  <c r="AA37" i="12"/>
  <c r="AA38" i="12"/>
  <c r="AA39" i="12"/>
  <c r="AA40" i="12"/>
  <c r="AA41" i="12"/>
  <c r="AA42" i="12"/>
  <c r="AA43" i="12"/>
  <c r="AA44" i="12"/>
  <c r="AA3" i="12"/>
  <c r="Z4" i="12"/>
  <c r="Z5" i="12"/>
  <c r="Z6" i="12"/>
  <c r="Z7" i="12"/>
  <c r="Z8" i="12"/>
  <c r="Z9" i="12"/>
  <c r="Z10" i="12"/>
  <c r="Z11" i="12"/>
  <c r="Z12" i="12"/>
  <c r="Z13" i="12"/>
  <c r="Z14" i="12"/>
  <c r="Z15" i="12"/>
  <c r="Z16" i="12"/>
  <c r="Z17" i="12"/>
  <c r="Z18" i="12"/>
  <c r="Z19" i="12"/>
  <c r="Z20" i="12"/>
  <c r="Z21" i="12"/>
  <c r="Z22" i="12"/>
  <c r="Z23" i="12"/>
  <c r="Z24" i="12"/>
  <c r="Z25" i="12"/>
  <c r="Z26" i="12"/>
  <c r="Z27" i="12"/>
  <c r="Z28" i="12"/>
  <c r="Z29" i="12"/>
  <c r="Z30" i="12"/>
  <c r="Z31" i="12"/>
  <c r="Z32" i="12"/>
  <c r="Z33" i="12"/>
  <c r="Z34" i="12"/>
  <c r="Z35" i="12"/>
  <c r="Z36" i="12"/>
  <c r="Z37" i="12"/>
  <c r="Z38" i="12"/>
  <c r="Z39" i="12"/>
  <c r="Z40" i="12"/>
  <c r="Z41" i="12"/>
  <c r="Z42" i="12"/>
  <c r="Z43" i="12"/>
  <c r="Z44" i="12"/>
  <c r="Z3" i="12"/>
  <c r="Y4" i="12"/>
  <c r="Y5" i="12"/>
  <c r="Y6" i="12"/>
  <c r="Y7" i="12"/>
  <c r="Y8" i="12"/>
  <c r="Y9" i="12"/>
  <c r="Y10" i="12"/>
  <c r="Y11" i="12"/>
  <c r="Y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5" i="12"/>
  <c r="Y36" i="12"/>
  <c r="Y37" i="12"/>
  <c r="Y38" i="12"/>
  <c r="Y39" i="12"/>
  <c r="Y40" i="12"/>
  <c r="Y41" i="12"/>
  <c r="Y42" i="12"/>
  <c r="Y43" i="12"/>
  <c r="Y44" i="12"/>
  <c r="Y3" i="12"/>
  <c r="X4" i="12"/>
  <c r="X5" i="12"/>
  <c r="X6" i="12"/>
  <c r="X7" i="12"/>
  <c r="X8" i="12"/>
  <c r="X9" i="12"/>
  <c r="X10" i="12"/>
  <c r="X11" i="12"/>
  <c r="X12" i="12"/>
  <c r="X13" i="12"/>
  <c r="X14" i="12"/>
  <c r="X15" i="12"/>
  <c r="X16" i="12"/>
  <c r="X17" i="12"/>
  <c r="X18" i="12"/>
  <c r="X19" i="12"/>
  <c r="X20" i="12"/>
  <c r="X21" i="12"/>
  <c r="X22" i="12"/>
  <c r="X23" i="12"/>
  <c r="X24" i="12"/>
  <c r="X25" i="12"/>
  <c r="X26" i="12"/>
  <c r="X27" i="12"/>
  <c r="X28" i="12"/>
  <c r="X29" i="12"/>
  <c r="X30" i="12"/>
  <c r="X31" i="12"/>
  <c r="X32" i="12"/>
  <c r="X33" i="12"/>
  <c r="X34" i="12"/>
  <c r="X35" i="12"/>
  <c r="X36" i="12"/>
  <c r="X37" i="12"/>
  <c r="X38" i="12"/>
  <c r="X39" i="12"/>
  <c r="X40" i="12"/>
  <c r="X41" i="12"/>
  <c r="X42" i="12"/>
  <c r="X43" i="12"/>
  <c r="X44" i="12"/>
  <c r="W4" i="12"/>
  <c r="W5" i="12"/>
  <c r="W6" i="12"/>
  <c r="W7" i="12"/>
  <c r="W8" i="12"/>
  <c r="W9" i="12"/>
  <c r="W10" i="12"/>
  <c r="W11" i="12"/>
  <c r="W12" i="12"/>
  <c r="W13" i="12"/>
  <c r="W14" i="12"/>
  <c r="W15" i="12"/>
  <c r="W16" i="12"/>
  <c r="W17" i="12"/>
  <c r="W18" i="12"/>
  <c r="W19" i="12"/>
  <c r="W20" i="12"/>
  <c r="W21" i="12"/>
  <c r="W22" i="12"/>
  <c r="W23" i="12"/>
  <c r="W24" i="12"/>
  <c r="W25" i="12"/>
  <c r="W26" i="12"/>
  <c r="W27" i="12"/>
  <c r="W28" i="12"/>
  <c r="W29" i="12"/>
  <c r="W30" i="12"/>
  <c r="W31" i="12"/>
  <c r="W32" i="12"/>
  <c r="W33" i="12"/>
  <c r="W34" i="12"/>
  <c r="W35" i="12"/>
  <c r="W36" i="12"/>
  <c r="W37" i="12"/>
  <c r="W38" i="12"/>
  <c r="W39" i="12"/>
  <c r="W40" i="12"/>
  <c r="W41" i="12"/>
  <c r="W42" i="12"/>
  <c r="W43" i="12"/>
  <c r="W44" i="12"/>
  <c r="X3" i="12"/>
  <c r="W3" i="12"/>
  <c r="V3" i="12"/>
  <c r="U4" i="12"/>
  <c r="U5" i="12"/>
  <c r="U6" i="12"/>
  <c r="U7" i="12"/>
  <c r="U8" i="12"/>
  <c r="U9" i="12"/>
  <c r="U10" i="12"/>
  <c r="U11" i="12"/>
  <c r="U12" i="12"/>
  <c r="U13" i="12"/>
  <c r="U14" i="12"/>
  <c r="U15" i="12"/>
  <c r="U16" i="12"/>
  <c r="U17" i="12"/>
  <c r="U18" i="12"/>
  <c r="U19" i="12"/>
  <c r="U20" i="12"/>
  <c r="U21" i="12"/>
  <c r="U22" i="12"/>
  <c r="U23" i="12"/>
  <c r="U24" i="12"/>
  <c r="U25" i="12"/>
  <c r="U26" i="12"/>
  <c r="U27" i="12"/>
  <c r="U28" i="12"/>
  <c r="U29" i="12"/>
  <c r="U30" i="12"/>
  <c r="U31" i="12"/>
  <c r="U32" i="12"/>
  <c r="U33" i="12"/>
  <c r="U34" i="12"/>
  <c r="U35" i="12"/>
  <c r="U36" i="12"/>
  <c r="U37" i="12"/>
  <c r="U38" i="12"/>
  <c r="U39" i="12"/>
  <c r="U40" i="12"/>
  <c r="U41" i="12"/>
  <c r="U42" i="12"/>
  <c r="U43" i="12"/>
  <c r="U44" i="12"/>
  <c r="U3" i="12"/>
  <c r="T4" i="12"/>
  <c r="T5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3" i="12"/>
  <c r="S4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3" i="12"/>
  <c r="V44" i="12" l="1"/>
  <c r="Q44" i="12" l="1"/>
  <c r="J54" i="12"/>
  <c r="F54" i="12"/>
  <c r="I52" i="12"/>
  <c r="H52" i="12"/>
  <c r="D52" i="12"/>
  <c r="C52" i="12"/>
  <c r="V17" i="12"/>
  <c r="Q17" i="12"/>
  <c r="V42" i="12"/>
  <c r="Q42" i="12"/>
  <c r="V38" i="12"/>
  <c r="Q38" i="12"/>
  <c r="V13" i="12"/>
  <c r="Q13" i="12"/>
  <c r="V40" i="12"/>
  <c r="Q40" i="12"/>
  <c r="V4" i="12"/>
  <c r="V43" i="12"/>
  <c r="Q43" i="12"/>
  <c r="V25" i="12"/>
  <c r="Q25" i="12"/>
  <c r="V34" i="12"/>
  <c r="Q34" i="12"/>
  <c r="V22" i="12"/>
  <c r="Q22" i="12"/>
  <c r="V7" i="12"/>
  <c r="Q7" i="12"/>
  <c r="V39" i="12"/>
  <c r="Q39" i="12"/>
  <c r="V26" i="12"/>
  <c r="Q26" i="12"/>
  <c r="V41" i="12"/>
  <c r="Q41" i="12"/>
  <c r="V37" i="12"/>
  <c r="Q37" i="12"/>
  <c r="V14" i="12"/>
  <c r="Q14" i="12"/>
  <c r="V36" i="12"/>
  <c r="Q36" i="12"/>
  <c r="V35" i="12"/>
  <c r="Q35" i="12"/>
  <c r="V33" i="12"/>
  <c r="Q33" i="12"/>
  <c r="V32" i="12"/>
  <c r="Q32" i="12"/>
  <c r="V31" i="12"/>
  <c r="Q31" i="12"/>
  <c r="V30" i="12"/>
  <c r="Q30" i="12"/>
  <c r="V29" i="12"/>
  <c r="Q29" i="12"/>
  <c r="V28" i="12"/>
  <c r="Q28" i="12"/>
  <c r="V27" i="12"/>
  <c r="Q27" i="12"/>
  <c r="V24" i="12"/>
  <c r="Q24" i="12"/>
  <c r="V23" i="12"/>
  <c r="Q23" i="12"/>
  <c r="V20" i="12"/>
  <c r="Q20" i="12"/>
  <c r="V21" i="12"/>
  <c r="Q21" i="12"/>
  <c r="V19" i="12"/>
  <c r="Q19" i="12"/>
  <c r="V18" i="12"/>
  <c r="Q18" i="12"/>
  <c r="V16" i="12"/>
  <c r="Q16" i="12"/>
  <c r="V15" i="12"/>
  <c r="Q15" i="12"/>
  <c r="V8" i="12"/>
  <c r="Q8" i="12"/>
  <c r="V12" i="12"/>
  <c r="Q12" i="12"/>
  <c r="V11" i="12"/>
  <c r="Q11" i="12"/>
  <c r="V10" i="12"/>
  <c r="Q10" i="12"/>
  <c r="V9" i="12"/>
  <c r="Q9" i="12"/>
  <c r="V6" i="12"/>
  <c r="Q6" i="12"/>
  <c r="V5" i="12"/>
  <c r="Q5" i="12"/>
  <c r="Q3" i="12"/>
  <c r="B52" i="12" l="1"/>
  <c r="F52" i="12" s="1"/>
  <c r="Q4" i="12"/>
  <c r="C53" i="12"/>
  <c r="I53" i="12"/>
  <c r="D53" i="12"/>
  <c r="G51" i="12"/>
  <c r="H51" i="12"/>
  <c r="C51" i="12"/>
  <c r="I51" i="12"/>
  <c r="D51" i="12"/>
  <c r="K51" i="12"/>
  <c r="C49" i="12"/>
  <c r="K52" i="12"/>
  <c r="D49" i="12"/>
  <c r="H49" i="12"/>
  <c r="C50" i="12"/>
  <c r="H50" i="12"/>
  <c r="I50" i="12"/>
  <c r="I49" i="12"/>
  <c r="D50" i="12"/>
  <c r="H53" i="12"/>
  <c r="B53" i="12"/>
  <c r="B51" i="12" l="1"/>
  <c r="F51" i="12" s="1"/>
  <c r="B50" i="12"/>
  <c r="K50" i="12"/>
  <c r="G50" i="12"/>
  <c r="J50" i="12" s="1"/>
  <c r="G49" i="12"/>
  <c r="G53" i="12"/>
  <c r="J53" i="12" s="1"/>
  <c r="G52" i="12"/>
  <c r="J52" i="12" s="1"/>
  <c r="J51" i="12"/>
  <c r="G55" i="12" l="1"/>
  <c r="F50" i="12"/>
  <c r="B55" i="12"/>
  <c r="J49" i="12"/>
  <c r="J55" i="12" s="1"/>
  <c r="F49" i="12"/>
  <c r="K53" i="12"/>
  <c r="K49" i="12"/>
  <c r="F53" i="12"/>
  <c r="K55" i="12" l="1"/>
  <c r="F55" i="12"/>
</calcChain>
</file>

<file path=xl/sharedStrings.xml><?xml version="1.0" encoding="utf-8"?>
<sst xmlns="http://schemas.openxmlformats.org/spreadsheetml/2006/main" count="169" uniqueCount="89">
  <si>
    <t xml:space="preserve">EMPLOYEE'S NAME </t>
  </si>
  <si>
    <t>1-15 CUT-OFF DEDUCTION</t>
  </si>
  <si>
    <t>16-30/31 CUT-OFF DEDUCTION</t>
  </si>
  <si>
    <t>CAT</t>
  </si>
  <si>
    <t>EMPLOYEE SHARE</t>
  </si>
  <si>
    <t>EMPLOYER SHARE</t>
  </si>
  <si>
    <t>TOTAL</t>
  </si>
  <si>
    <t>SSS</t>
  </si>
  <si>
    <t>SSS SL</t>
  </si>
  <si>
    <t>SSS CL</t>
  </si>
  <si>
    <t>SSS EL</t>
  </si>
  <si>
    <t>HDMF</t>
  </si>
  <si>
    <t>HDMF SL</t>
  </si>
  <si>
    <t>HDMF CL</t>
  </si>
  <si>
    <t>PHIC</t>
  </si>
  <si>
    <t xml:space="preserve">ACIDERA , ROMEO A. </t>
  </si>
  <si>
    <t>managers</t>
  </si>
  <si>
    <t>ACIDERA, JOYCE</t>
  </si>
  <si>
    <t>core</t>
  </si>
  <si>
    <t xml:space="preserve">AGUSTIN, IRA JAZEN M. </t>
  </si>
  <si>
    <t xml:space="preserve">ALACAR, CAROLYN  E. </t>
  </si>
  <si>
    <t>APSI</t>
  </si>
  <si>
    <t>ALBERTO, DEXTER M.</t>
  </si>
  <si>
    <t>ALVARO, RACHELLE ANDREA C.</t>
  </si>
  <si>
    <t xml:space="preserve">ARGARIN, JEANFRED R. </t>
  </si>
  <si>
    <t xml:space="preserve">BACATIO, JENNIFER  N. </t>
  </si>
  <si>
    <t xml:space="preserve">BEDAYO, LEE ROBERT S. </t>
  </si>
  <si>
    <t>CABIDES, GILBERT A.</t>
  </si>
  <si>
    <t>CASOL, CLARK JANNDY A.</t>
  </si>
  <si>
    <t xml:space="preserve">CONDES, CHARMAINE S. </t>
  </si>
  <si>
    <t xml:space="preserve">CRUZ, VIRGIL BENNET  A. </t>
  </si>
  <si>
    <t xml:space="preserve">DAIGAN, BENJIE G. </t>
  </si>
  <si>
    <t>DE LA VICTORIA, RAYMUND</t>
  </si>
  <si>
    <t>ACG</t>
  </si>
  <si>
    <t>DENCIO , ARISTEO A.</t>
  </si>
  <si>
    <t xml:space="preserve">DIONCO, MERVIN P. </t>
  </si>
  <si>
    <t xml:space="preserve">ENAL , HERNANDO JR., E. </t>
  </si>
  <si>
    <t xml:space="preserve">EUGENIO , ROSS FRANCIS  C. </t>
  </si>
  <si>
    <t>FAUSTINO, MARY ANNE A.</t>
  </si>
  <si>
    <t xml:space="preserve">GARCIA, MARLON R. </t>
  </si>
  <si>
    <t>GONZALES, RONEY  C.</t>
  </si>
  <si>
    <t>KHO, KERWIN JOHN T.</t>
  </si>
  <si>
    <t xml:space="preserve">LADRA, SARAH LYN  V. </t>
  </si>
  <si>
    <t>LAMBIO, ALLEN M.</t>
  </si>
  <si>
    <t xml:space="preserve">MACEDONIO, LYLE ELEIZER P. </t>
  </si>
  <si>
    <t xml:space="preserve">MONZON, ANTHONER C. </t>
  </si>
  <si>
    <t xml:space="preserve">PALMERA, AXCEL MARTIN U. </t>
  </si>
  <si>
    <t>RAPERA, RAINIER ALEXIS L.</t>
  </si>
  <si>
    <t xml:space="preserve">REVAÑO, JOSEPH EDWARD  C. </t>
  </si>
  <si>
    <t xml:space="preserve">RIO, AMOR CORAZON  S. </t>
  </si>
  <si>
    <t>SIMAN, MA. ELENIA T.</t>
  </si>
  <si>
    <t xml:space="preserve">SIMEON, RODERICK C. </t>
  </si>
  <si>
    <t>SISON, JOYCE ANN M.</t>
  </si>
  <si>
    <t xml:space="preserve">TANHUECO, JUSTIN A. </t>
  </si>
  <si>
    <t>TOLENTINO, FREDELY JUNE B.</t>
  </si>
  <si>
    <t xml:space="preserve">ULTIMO, VERNALIZA R. </t>
  </si>
  <si>
    <t>URIARTE, JOHN LENNON</t>
  </si>
  <si>
    <t>VASQUEZ, RAYMOND B.</t>
  </si>
  <si>
    <t>VILLANUEVA, REYMART</t>
  </si>
  <si>
    <t>YU, JOSEPH</t>
  </si>
  <si>
    <t>MACASADDU, FRANKLIN C.</t>
  </si>
  <si>
    <t>JANUARY 2026</t>
  </si>
  <si>
    <t>PhilHealth</t>
  </si>
  <si>
    <t>Department</t>
  </si>
  <si>
    <t>Contri</t>
  </si>
  <si>
    <t>Salary Loan</t>
  </si>
  <si>
    <t>Calamity Loan</t>
  </si>
  <si>
    <t>Emergency Loan</t>
  </si>
  <si>
    <t>SSS Total</t>
  </si>
  <si>
    <t>HMDF  Total</t>
  </si>
  <si>
    <t>bank charge</t>
  </si>
  <si>
    <t>JAN</t>
  </si>
  <si>
    <t>FEB</t>
  </si>
  <si>
    <t>MAR</t>
  </si>
  <si>
    <t>APR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</si>
  <si>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</si>
  <si>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</si>
  <si>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</si>
  <si>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</si>
  <si>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</si>
  <si>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</si>
  <si>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</si>
  <si>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</si>
  <si>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ER share</t>
  </si>
  <si>
    <t>EE share</t>
  </si>
  <si>
    <t>Philhealth</t>
  </si>
  <si>
    <t>Pag-ibig</t>
  </si>
  <si>
    <t>TOTAL ER:</t>
  </si>
  <si>
    <t>TOTAL EE: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</si>
</sst>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1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3" fillId="0" borderId="0">
      <alignment vertical="top"/>
      <protection locked="0"/>
    </xf>
    <xf numFmtId="0" fontId="6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89">
    <xf numFmtId="0" fontId="0" fillId="0" borderId="0" xfId="0"/>
    <xf numFmtId="0" fontId="3" fillId="0" borderId="3" xfId="0" applyFont="1" applyBorder="1" applyAlignment="1">
      <alignment horizontal="center" vertical="center"/>
    </xf>
    <xf numFmtId="0" fontId="5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64" fontId="3" fillId="4" borderId="2" xfId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4" fontId="2" fillId="4" borderId="2" xfId="1" applyFont="1" applyFill="1" applyBorder="1" applyAlignment="1">
      <alignment horizontal="center" vertical="center"/>
    </xf>
    <xf numFmtId="164" fontId="3" fillId="3" borderId="2" xfId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6" xfId="0" applyFont="1" applyBorder="1" applyAlignment="1">
      <alignment vertical="center"/>
    </xf>
    <xf numFmtId="164" fontId="6" fillId="2" borderId="2" xfId="1" applyFont="1" applyFill="1" applyBorder="1" applyAlignment="1">
      <alignment horizontal="center" vertical="center"/>
    </xf>
    <xf numFmtId="164" fontId="7" fillId="4" borderId="2" xfId="0" applyNumberFormat="1" applyFont="1" applyFill="1" applyBorder="1"/>
    <xf numFmtId="164" fontId="6" fillId="3" borderId="2" xfId="1" applyFont="1" applyFill="1" applyBorder="1" applyAlignment="1">
      <alignment horizontal="center" vertical="center"/>
    </xf>
    <xf numFmtId="164" fontId="5" fillId="0" borderId="0" xfId="1" applyFont="1"/>
    <xf numFmtId="0" fontId="6" fillId="0" borderId="6" xfId="0" applyFont="1" applyBorder="1" applyAlignment="1">
      <alignment horizontal="left" vertical="center"/>
    </xf>
    <xf numFmtId="164" fontId="6" fillId="4" borderId="2" xfId="1" applyFont="1" applyFill="1" applyBorder="1" applyAlignment="1">
      <alignment horizontal="right" vertical="center"/>
    </xf>
    <xf numFmtId="0" fontId="8" fillId="0" borderId="0" xfId="0" applyFont="1"/>
    <xf numFmtId="164" fontId="4" fillId="0" borderId="0" xfId="0" applyNumberFormat="1" applyFont="1"/>
    <xf numFmtId="164" fontId="3" fillId="0" borderId="0" xfId="1" applyFont="1" applyFill="1" applyBorder="1" applyAlignment="1">
      <alignment horizontal="center"/>
    </xf>
    <xf numFmtId="164" fontId="4" fillId="0" borderId="0" xfId="1" applyFont="1" applyFill="1"/>
    <xf numFmtId="0" fontId="7" fillId="0" borderId="0" xfId="0" applyFont="1"/>
    <xf numFmtId="164" fontId="3" fillId="0" borderId="0" xfId="1" applyFont="1" applyFill="1" applyBorder="1" applyAlignment="1"/>
    <xf numFmtId="164" fontId="5" fillId="0" borderId="0" xfId="1" applyFont="1" applyFill="1"/>
    <xf numFmtId="43" fontId="5" fillId="0" borderId="0" xfId="0" applyNumberFormat="1" applyFont="1"/>
    <xf numFmtId="164" fontId="3" fillId="0" borderId="2" xfId="1" applyFont="1" applyFill="1" applyBorder="1" applyAlignment="1"/>
    <xf numFmtId="164" fontId="5" fillId="0" borderId="0" xfId="0" applyNumberFormat="1" applyFont="1"/>
    <xf numFmtId="164" fontId="9" fillId="0" borderId="0" xfId="0" applyNumberFormat="1" applyFont="1"/>
    <xf numFmtId="0" fontId="8" fillId="0" borderId="0" xfId="0" quotePrefix="1" applyFont="1"/>
    <xf numFmtId="4" fontId="0" fillId="0" borderId="0" xfId="0" applyNumberFormat="1"/>
    <xf numFmtId="0" fontId="6" fillId="0" borderId="2" xfId="0" applyFont="1" applyBorder="1" applyAlignment="1">
      <alignment vertical="center"/>
    </xf>
    <xf numFmtId="0" fontId="10" fillId="0" borderId="0" xfId="0" applyFont="1" applyAlignment="1">
      <alignment horizontal="center"/>
    </xf>
    <xf numFmtId="0" fontId="14" fillId="0" borderId="9" xfId="0" applyFont="1" applyBorder="1"/>
    <xf numFmtId="43" fontId="1" fillId="0" borderId="10" xfId="2" applyFont="1" applyBorder="1"/>
    <xf numFmtId="0" fontId="0" fillId="0" borderId="11" xfId="0" applyBorder="1"/>
    <xf numFmtId="43" fontId="1" fillId="0" borderId="0" xfId="2" applyFont="1" applyBorder="1"/>
    <xf numFmtId="43" fontId="1" fillId="0" borderId="5" xfId="2" applyFont="1" applyBorder="1"/>
    <xf numFmtId="43" fontId="10" fillId="0" borderId="13" xfId="2" applyFont="1" applyBorder="1"/>
    <xf numFmtId="43" fontId="1" fillId="0" borderId="0" xfId="2" applyFont="1"/>
    <xf numFmtId="0" fontId="10" fillId="0" borderId="0" xfId="0" applyFont="1"/>
    <xf numFmtId="43" fontId="10" fillId="0" borderId="0" xfId="2" applyFont="1"/>
    <xf numFmtId="4" fontId="10" fillId="0" borderId="0" xfId="0" applyNumberFormat="1" applyFont="1"/>
    <xf numFmtId="43" fontId="1" fillId="0" borderId="14" xfId="2" applyFont="1" applyBorder="1"/>
    <xf numFmtId="43" fontId="0" fillId="0" borderId="0" xfId="0" applyNumberFormat="1"/>
    <xf numFmtId="43" fontId="1" fillId="0" borderId="16" xfId="2" applyFont="1" applyBorder="1"/>
    <xf numFmtId="43" fontId="10" fillId="0" borderId="17" xfId="2" applyFont="1" applyBorder="1"/>
    <xf numFmtId="43" fontId="1" fillId="0" borderId="15" xfId="2" applyFont="1" applyBorder="1"/>
    <xf numFmtId="43" fontId="10" fillId="0" borderId="0" xfId="0" applyNumberFormat="1" applyFont="1"/>
    <xf numFmtId="43" fontId="11" fillId="0" borderId="15" xfId="2" applyFont="1" applyBorder="1"/>
    <xf numFmtId="164" fontId="0" fillId="0" borderId="0" xfId="0" applyNumberFormat="1"/>
    <xf numFmtId="0" fontId="14" fillId="0" borderId="12" xfId="0" applyFont="1" applyBorder="1"/>
    <xf numFmtId="0" fontId="8" fillId="0" borderId="6" xfId="0" applyFont="1" applyBorder="1"/>
    <xf numFmtId="0" fontId="8" fillId="0" borderId="6" xfId="0" applyFont="1" applyBorder="1" applyAlignment="1">
      <alignment horizontal="left"/>
    </xf>
    <xf numFmtId="164" fontId="3" fillId="0" borderId="24" xfId="1" applyFont="1" applyFill="1" applyBorder="1" applyAlignment="1"/>
    <xf numFmtId="164" fontId="3" fillId="0" borderId="25" xfId="1" applyFont="1" applyFill="1" applyBorder="1" applyAlignment="1"/>
    <xf numFmtId="164" fontId="3" fillId="0" borderId="26" xfId="1" applyFont="1" applyFill="1" applyBorder="1" applyAlignment="1"/>
    <xf numFmtId="164" fontId="3" fillId="0" borderId="27" xfId="1" applyFont="1" applyFill="1" applyBorder="1" applyAlignment="1"/>
    <xf numFmtId="164" fontId="3" fillId="0" borderId="28" xfId="1" applyFont="1" applyFill="1" applyBorder="1" applyAlignment="1"/>
    <xf numFmtId="164" fontId="3" fillId="0" borderId="31" xfId="1" applyFont="1" applyFill="1" applyBorder="1" applyAlignment="1"/>
    <xf numFmtId="164" fontId="3" fillId="0" borderId="32" xfId="1" applyFont="1" applyFill="1" applyBorder="1" applyAlignment="1"/>
    <xf numFmtId="0" fontId="8" fillId="2" borderId="22" xfId="0" applyFont="1" applyFill="1" applyBorder="1" applyAlignment="1">
      <alignment horizontal="center"/>
    </xf>
    <xf numFmtId="0" fontId="8" fillId="2" borderId="21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8" fillId="2" borderId="30" xfId="0" applyFont="1" applyFill="1" applyBorder="1" applyAlignment="1">
      <alignment horizontal="center"/>
    </xf>
    <xf numFmtId="0" fontId="8" fillId="5" borderId="29" xfId="0" applyFont="1" applyFill="1" applyBorder="1" applyAlignment="1">
      <alignment horizontal="center"/>
    </xf>
    <xf numFmtId="164" fontId="6" fillId="2" borderId="2" xfId="1" applyFont="1" applyFill="1" applyBorder="1" applyAlignment="1">
      <alignment vertical="center"/>
    </xf>
    <xf numFmtId="164" fontId="6" fillId="3" borderId="2" xfId="1" applyFont="1" applyFill="1" applyBorder="1" applyAlignment="1">
      <alignment vertical="center"/>
    </xf>
    <xf numFmtId="0" fontId="6" fillId="0" borderId="0" xfId="0" applyFont="1" applyAlignment="1">
      <alignment horizontal="center"/>
    </xf>
    <xf numFmtId="164" fontId="7" fillId="2" borderId="2" xfId="0" applyNumberFormat="1" applyFont="1" applyFill="1" applyBorder="1"/>
    <xf numFmtId="164" fontId="7" fillId="3" borderId="2" xfId="0" applyNumberFormat="1" applyFont="1" applyFill="1" applyBorder="1"/>
    <xf numFmtId="164" fontId="7" fillId="3" borderId="2" xfId="1" applyFont="1" applyFill="1" applyBorder="1"/>
    <xf numFmtId="164" fontId="7" fillId="0" borderId="0" xfId="1" applyFont="1"/>
    <xf numFmtId="164" fontId="6" fillId="3" borderId="2" xfId="1" applyFont="1" applyFill="1" applyBorder="1" applyAlignment="1">
      <alignment horizontal="right" vertical="center"/>
    </xf>
    <xf numFmtId="164" fontId="6" fillId="3" borderId="2" xfId="1" applyFont="1" applyFill="1" applyBorder="1" applyAlignment="1"/>
    <xf numFmtId="0" fontId="6" fillId="3" borderId="2" xfId="0" applyFont="1" applyFill="1" applyBorder="1" applyAlignment="1">
      <alignment horizontal="center"/>
    </xf>
    <xf numFmtId="164" fontId="6" fillId="0" borderId="0" xfId="1" applyFont="1" applyBorder="1" applyAlignment="1">
      <alignment horizontal="center"/>
    </xf>
    <xf numFmtId="0" fontId="8" fillId="5" borderId="18" xfId="0" applyFont="1" applyFill="1" applyBorder="1" applyAlignment="1">
      <alignment horizontal="center"/>
    </xf>
    <xf numFmtId="0" fontId="8" fillId="5" borderId="19" xfId="0" applyFont="1" applyFill="1" applyBorder="1" applyAlignment="1">
      <alignment horizontal="center"/>
    </xf>
    <xf numFmtId="0" fontId="8" fillId="5" borderId="20" xfId="0" applyFont="1" applyFill="1" applyBorder="1" applyAlignment="1">
      <alignment horizontal="center"/>
    </xf>
    <xf numFmtId="43" fontId="8" fillId="5" borderId="18" xfId="0" applyNumberFormat="1" applyFont="1" applyFill="1" applyBorder="1" applyAlignment="1">
      <alignment horizontal="center"/>
    </xf>
    <xf numFmtId="43" fontId="8" fillId="5" borderId="19" xfId="0" applyNumberFormat="1" applyFont="1" applyFill="1" applyBorder="1" applyAlignment="1">
      <alignment horizontal="center"/>
    </xf>
    <xf numFmtId="43" fontId="8" fillId="5" borderId="20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3" fillId="0" borderId="2" xfId="1" applyFont="1" applyFill="1" applyBorder="1" applyAlignment="1">
      <alignment horizontal="center" vertical="center"/>
    </xf>
    <xf numFmtId="164" fontId="3" fillId="0" borderId="6" xfId="1" applyFont="1" applyFill="1" applyBorder="1" applyAlignment="1">
      <alignment horizontal="center" vertical="center"/>
    </xf>
    <xf numFmtId="164" fontId="3" fillId="0" borderId="7" xfId="1" applyFont="1" applyFill="1" applyBorder="1" applyAlignment="1">
      <alignment horizontal="center" vertical="center"/>
    </xf>
    <xf numFmtId="164" fontId="3" fillId="0" borderId="8" xfId="1" applyFont="1" applyFill="1" applyBorder="1" applyAlignment="1">
      <alignment horizontal="center" vertical="center"/>
    </xf>
  </cellXfs>
  <cellStyles count="21">
    <cellStyle name="Comma" xfId="1" builtinId="3"/>
    <cellStyle name="Comma 10" xfId="6" xr:uid="{A4AB9259-20DE-4CFE-ADFC-EE1170767062}"/>
    <cellStyle name="Comma 2" xfId="5" xr:uid="{D904B48E-967E-484E-B06B-22E96742488C}"/>
    <cellStyle name="Comma 2 2" xfId="7" xr:uid="{A70FBCD6-CF75-4F16-98E2-8077B805BBD8}"/>
    <cellStyle name="Comma 3" xfId="2" xr:uid="{05F2143C-B82A-40D6-BD40-8F7C2FB3D74E}"/>
    <cellStyle name="Comma 3 2" xfId="9" xr:uid="{4F385A82-4A6B-4807-BD4F-4F9F8A251AAE}"/>
    <cellStyle name="Comma 3 2 2" xfId="10" xr:uid="{AD8DF813-90AF-4C27-AAC5-CA64DFDCA7D7}"/>
    <cellStyle name="Comma 3 2 2 2" xfId="11" xr:uid="{0ACB1ED5-D2FC-47B7-97D7-BF02C96AC310}"/>
    <cellStyle name="Comma 3 3" xfId="12" xr:uid="{5302C55C-A2C8-4D8F-92E9-B74FB5E76A0E}"/>
    <cellStyle name="Comma 3 3 2" xfId="13" xr:uid="{DC135D9A-9461-4C29-AD98-D6228BFAFD3D}"/>
    <cellStyle name="Comma 3 4" xfId="8" xr:uid="{2035C97C-C141-478E-9849-3DFE9A2FA04C}"/>
    <cellStyle name="Comma 4" xfId="14" xr:uid="{92368A87-3266-4AE0-B5B8-E0B56DA49737}"/>
    <cellStyle name="Comma 4 2" xfId="15" xr:uid="{7DE580C8-A0C4-478B-9D64-4BA4DA422146}"/>
    <cellStyle name="Comma 4 3" xfId="16" xr:uid="{AEE444D8-48F9-4698-AD48-66229180A45B}"/>
    <cellStyle name="Comma 5" xfId="17" xr:uid="{35558E2A-0B4B-463B-A2ED-F88E03F26D39}"/>
    <cellStyle name="Normal" xfId="0" builtinId="0"/>
    <cellStyle name="Normal 2" xfId="18" xr:uid="{BCE19E8F-C575-4B4E-8AB2-E567A03C3804}"/>
    <cellStyle name="Normal 2 3" xfId="4" xr:uid="{96929C4F-3A8C-41B2-BB0F-9375C8BD9CF1}"/>
    <cellStyle name="Normal 5 2" xfId="3" xr:uid="{316CA91B-05A2-468F-92DA-5D6B00271052}"/>
    <cellStyle name="Percent 2" xfId="19" xr:uid="{57D43F76-EE1C-4CE6-81BA-06861D1FDD3C}"/>
    <cellStyle name="Percent 2 2" xfId="20" xr:uid="{0DBA5EB7-4CD3-4699-ADE0-BC12DE0411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8A725-1A07-41A9-9CF6-7CB29B1D4382}">
  <dimension ref="A1:AH60"/>
  <sheetViews>
    <sheetView tabSelected="1" zoomScale="70" zoomScaleNormal="70" workbookViewId="0">
      <pane xSplit="1" ySplit="2" topLeftCell="B21" activePane="bottomRight" state="frozen"/>
      <selection pane="bottomRight" activeCell="D57" sqref="D57"/>
      <selection pane="bottomLeft" activeCell="A3" sqref="A3"/>
      <selection pane="topRight" activeCell="B1" sqref="B1"/>
    </sheetView>
  </sheetViews>
  <sheetFormatPr defaultColWidth="8.85546875" defaultRowHeight="13.9"/>
  <cols>
    <col min="1" max="1" width="30.7109375" style="21" bestFit="1" customWidth="1"/>
    <col min="2" max="2" width="11.28515625" style="2" customWidth="1"/>
    <col min="3" max="3" width="11.140625" style="2" bestFit="1" customWidth="1"/>
    <col min="4" max="4" width="12.28515625" style="2" bestFit="1" customWidth="1"/>
    <col min="5" max="5" width="14.140625" style="2" bestFit="1" customWidth="1"/>
    <col min="6" max="6" width="12.28515625" style="2" bestFit="1" customWidth="1"/>
    <col min="7" max="7" width="10.28515625" style="2" customWidth="1"/>
    <col min="8" max="8" width="10" style="2" bestFit="1" customWidth="1"/>
    <col min="9" max="9" width="12.28515625" style="2" bestFit="1" customWidth="1"/>
    <col min="10" max="10" width="10.42578125" style="2" bestFit="1" customWidth="1"/>
    <col min="11" max="11" width="11.28515625" style="2" customWidth="1"/>
    <col min="12" max="12" width="8.28515625" style="2" bestFit="1" customWidth="1"/>
    <col min="13" max="13" width="7.5703125" style="2" bestFit="1" customWidth="1"/>
    <col min="14" max="14" width="9.28515625" style="2" customWidth="1"/>
    <col min="15" max="15" width="9.28515625" style="2" bestFit="1" customWidth="1"/>
    <col min="16" max="16" width="9.28515625" style="2" customWidth="1"/>
    <col min="17" max="17" width="10.28515625" style="2" customWidth="1"/>
    <col min="18" max="18" width="10.140625" style="2" bestFit="1" customWidth="1"/>
    <col min="19" max="19" width="10.28515625" style="9" customWidth="1"/>
    <col min="20" max="20" width="9.28515625" style="2" customWidth="1"/>
    <col min="21" max="21" width="10.28515625" style="2" customWidth="1"/>
    <col min="22" max="22" width="11.28515625" style="21" customWidth="1"/>
    <col min="23" max="23" width="9.28515625" style="2" customWidth="1"/>
    <col min="24" max="24" width="10.28515625" style="2" customWidth="1"/>
    <col min="25" max="25" width="11.28515625" style="2" customWidth="1"/>
    <col min="26" max="26" width="10.28515625" style="2" bestFit="1" customWidth="1"/>
    <col min="27" max="27" width="7.7109375" style="2" bestFit="1" customWidth="1"/>
    <col min="28" max="28" width="7.5703125" style="2" bestFit="1" customWidth="1"/>
    <col min="29" max="29" width="10.28515625" style="2" customWidth="1"/>
    <col min="30" max="30" width="10.42578125" style="2" bestFit="1" customWidth="1"/>
    <col min="31" max="31" width="9.28515625" style="2" bestFit="1" customWidth="1"/>
    <col min="32" max="32" width="11.28515625" style="23" bestFit="1" customWidth="1"/>
    <col min="33" max="33" width="11.28515625" style="2" bestFit="1" customWidth="1"/>
    <col min="34" max="34" width="18.28515625" style="2" bestFit="1" customWidth="1"/>
    <col min="35" max="16384" width="8.85546875" style="2"/>
  </cols>
  <sheetData>
    <row r="1" spans="1:34" ht="15.6" customHeight="1">
      <c r="A1" s="83" t="s">
        <v>0</v>
      </c>
      <c r="B1" s="85" t="s">
        <v>1</v>
      </c>
      <c r="C1" s="85"/>
      <c r="D1" s="85"/>
      <c r="E1" s="85"/>
      <c r="F1" s="85"/>
      <c r="G1" s="85"/>
      <c r="H1" s="85"/>
      <c r="I1" s="85"/>
      <c r="J1" s="85"/>
      <c r="K1" s="86" t="s">
        <v>2</v>
      </c>
      <c r="L1" s="87"/>
      <c r="M1" s="87"/>
      <c r="N1" s="87"/>
      <c r="O1" s="87"/>
      <c r="P1" s="87"/>
      <c r="Q1" s="88"/>
      <c r="R1" s="1" t="s">
        <v>3</v>
      </c>
      <c r="S1" s="82" t="s">
        <v>4</v>
      </c>
      <c r="T1" s="82"/>
      <c r="U1" s="82"/>
      <c r="V1" s="82" t="s">
        <v>5</v>
      </c>
      <c r="W1" s="82"/>
      <c r="X1" s="82"/>
      <c r="Y1" s="82" t="s">
        <v>6</v>
      </c>
      <c r="Z1" s="82"/>
      <c r="AA1" s="82"/>
      <c r="AB1" s="82"/>
      <c r="AC1" s="82"/>
      <c r="AD1" s="82"/>
      <c r="AE1" s="82"/>
      <c r="AF1" s="82"/>
    </row>
    <row r="2" spans="1:34" s="9" customFormat="1">
      <c r="A2" s="84"/>
      <c r="B2" s="3" t="s">
        <v>7</v>
      </c>
      <c r="C2" s="3" t="s">
        <v>8</v>
      </c>
      <c r="D2" s="3" t="s">
        <v>9</v>
      </c>
      <c r="E2" s="3" t="s">
        <v>10</v>
      </c>
      <c r="F2" s="4" t="s">
        <v>11</v>
      </c>
      <c r="G2" s="4" t="s">
        <v>12</v>
      </c>
      <c r="H2" s="4" t="s">
        <v>13</v>
      </c>
      <c r="I2" s="5" t="s">
        <v>14</v>
      </c>
      <c r="J2" s="3" t="s">
        <v>7</v>
      </c>
      <c r="K2" s="3" t="s">
        <v>8</v>
      </c>
      <c r="L2" s="3" t="s">
        <v>9</v>
      </c>
      <c r="M2" s="3" t="s">
        <v>10</v>
      </c>
      <c r="N2" s="4" t="s">
        <v>11</v>
      </c>
      <c r="O2" s="4" t="s">
        <v>12</v>
      </c>
      <c r="P2" s="4" t="s">
        <v>13</v>
      </c>
      <c r="Q2" s="5" t="s">
        <v>14</v>
      </c>
      <c r="R2" s="6"/>
      <c r="S2" s="3" t="s">
        <v>7</v>
      </c>
      <c r="T2" s="4" t="s">
        <v>11</v>
      </c>
      <c r="U2" s="7" t="s">
        <v>14</v>
      </c>
      <c r="V2" s="3" t="s">
        <v>7</v>
      </c>
      <c r="W2" s="4" t="s">
        <v>11</v>
      </c>
      <c r="X2" s="5" t="s">
        <v>14</v>
      </c>
      <c r="Y2" s="3" t="s">
        <v>7</v>
      </c>
      <c r="Z2" s="3" t="s">
        <v>8</v>
      </c>
      <c r="AA2" s="3" t="s">
        <v>9</v>
      </c>
      <c r="AB2" s="3" t="s">
        <v>10</v>
      </c>
      <c r="AC2" s="4" t="s">
        <v>11</v>
      </c>
      <c r="AD2" s="8" t="s">
        <v>12</v>
      </c>
      <c r="AE2" s="4" t="s">
        <v>13</v>
      </c>
      <c r="AF2" s="5" t="s">
        <v>14</v>
      </c>
      <c r="AG2" s="2"/>
    </row>
    <row r="3" spans="1:34" s="21" customFormat="1">
      <c r="A3" s="10" t="s">
        <v>15</v>
      </c>
      <c r="B3" s="65">
        <v>875</v>
      </c>
      <c r="C3" s="11"/>
      <c r="D3" s="11"/>
      <c r="E3" s="11"/>
      <c r="F3" s="66">
        <v>100</v>
      </c>
      <c r="G3" s="13"/>
      <c r="H3" s="13"/>
      <c r="I3" s="16">
        <v>1250</v>
      </c>
      <c r="J3" s="65">
        <v>875</v>
      </c>
      <c r="K3" s="11"/>
      <c r="L3" s="11"/>
      <c r="M3" s="11"/>
      <c r="N3" s="66">
        <v>100</v>
      </c>
      <c r="O3" s="13"/>
      <c r="P3" s="13"/>
      <c r="Q3" s="16">
        <f t="shared" ref="Q3:Q44" si="0">I3</f>
        <v>1250</v>
      </c>
      <c r="R3" s="67" t="s">
        <v>16</v>
      </c>
      <c r="S3" s="68">
        <f>B3+J3</f>
        <v>1750</v>
      </c>
      <c r="T3" s="69">
        <f>F3+N3</f>
        <v>200</v>
      </c>
      <c r="U3" s="12">
        <f>I3+Q3</f>
        <v>2500</v>
      </c>
      <c r="V3" s="68">
        <f>3500+30</f>
        <v>3530</v>
      </c>
      <c r="W3" s="69">
        <f>F3+N3</f>
        <v>200</v>
      </c>
      <c r="X3" s="12">
        <f>I3+Q3</f>
        <v>2500</v>
      </c>
      <c r="Y3" s="68">
        <f>S3+V3</f>
        <v>5280</v>
      </c>
      <c r="Z3" s="68">
        <f>C3+K3</f>
        <v>0</v>
      </c>
      <c r="AA3" s="68">
        <f>D3+L3</f>
        <v>0</v>
      </c>
      <c r="AB3" s="68">
        <f>E3+M3</f>
        <v>0</v>
      </c>
      <c r="AC3" s="69">
        <f>T3+W3</f>
        <v>400</v>
      </c>
      <c r="AD3" s="70">
        <f>G3+O3</f>
        <v>0</v>
      </c>
      <c r="AE3" s="70">
        <f>H3+P3</f>
        <v>0</v>
      </c>
      <c r="AF3" s="12">
        <f>U3+X3</f>
        <v>5000</v>
      </c>
    </row>
    <row r="4" spans="1:34" s="21" customFormat="1">
      <c r="A4" s="10" t="s">
        <v>17</v>
      </c>
      <c r="B4" s="65">
        <v>875</v>
      </c>
      <c r="C4" s="11"/>
      <c r="D4" s="11"/>
      <c r="E4" s="11"/>
      <c r="F4" s="66">
        <v>100</v>
      </c>
      <c r="G4" s="13"/>
      <c r="H4" s="13"/>
      <c r="I4" s="16">
        <v>512.5</v>
      </c>
      <c r="J4" s="65">
        <v>875</v>
      </c>
      <c r="K4" s="11"/>
      <c r="L4" s="11"/>
      <c r="M4" s="11"/>
      <c r="N4" s="66">
        <v>100</v>
      </c>
      <c r="O4" s="13"/>
      <c r="P4" s="13"/>
      <c r="Q4" s="16">
        <f t="shared" si="0"/>
        <v>512.5</v>
      </c>
      <c r="R4" s="67" t="s">
        <v>18</v>
      </c>
      <c r="S4" s="68">
        <f t="shared" ref="S4:S44" si="1">B4+J4</f>
        <v>1750</v>
      </c>
      <c r="T4" s="69">
        <f t="shared" ref="T4:T44" si="2">F4+N4</f>
        <v>200</v>
      </c>
      <c r="U4" s="12">
        <f t="shared" ref="U4:U44" si="3">I4+Q4</f>
        <v>1025</v>
      </c>
      <c r="V4" s="68">
        <f t="shared" ref="V4:V43" si="4">3500+30</f>
        <v>3530</v>
      </c>
      <c r="W4" s="69">
        <f t="shared" ref="W4:W44" si="5">F4+N4</f>
        <v>200</v>
      </c>
      <c r="X4" s="12">
        <f t="shared" ref="X4:X44" si="6">I4+Q4</f>
        <v>1025</v>
      </c>
      <c r="Y4" s="68">
        <f t="shared" ref="Y4:Y44" si="7">S4+V4</f>
        <v>5280</v>
      </c>
      <c r="Z4" s="68">
        <f t="shared" ref="Z4:Z44" si="8">C4+K4</f>
        <v>0</v>
      </c>
      <c r="AA4" s="68">
        <f t="shared" ref="AA4:AA44" si="9">D4+L4</f>
        <v>0</v>
      </c>
      <c r="AB4" s="68">
        <f t="shared" ref="AB4:AB44" si="10">E4+M4</f>
        <v>0</v>
      </c>
      <c r="AC4" s="69">
        <f t="shared" ref="AC4:AC44" si="11">T4+W4</f>
        <v>400</v>
      </c>
      <c r="AD4" s="70">
        <f t="shared" ref="AD4:AD44" si="12">G4+O4</f>
        <v>0</v>
      </c>
      <c r="AE4" s="70">
        <f t="shared" ref="AE4:AE44" si="13">H4+P4</f>
        <v>0</v>
      </c>
      <c r="AF4" s="12">
        <f t="shared" ref="AF4:AF44" si="14">U4+X4</f>
        <v>2050</v>
      </c>
      <c r="AG4" s="71"/>
      <c r="AH4" s="71"/>
    </row>
    <row r="5" spans="1:34" s="21" customFormat="1">
      <c r="A5" s="10" t="s">
        <v>19</v>
      </c>
      <c r="B5" s="65">
        <v>875</v>
      </c>
      <c r="C5" s="11"/>
      <c r="D5" s="11"/>
      <c r="E5" s="11"/>
      <c r="F5" s="66">
        <v>100</v>
      </c>
      <c r="G5" s="13"/>
      <c r="H5" s="13"/>
      <c r="I5" s="16">
        <v>775</v>
      </c>
      <c r="J5" s="65">
        <v>875</v>
      </c>
      <c r="K5" s="11"/>
      <c r="L5" s="11"/>
      <c r="M5" s="11"/>
      <c r="N5" s="66">
        <v>100</v>
      </c>
      <c r="O5" s="13"/>
      <c r="P5" s="13"/>
      <c r="Q5" s="16">
        <f t="shared" si="0"/>
        <v>775</v>
      </c>
      <c r="R5" s="67" t="s">
        <v>18</v>
      </c>
      <c r="S5" s="68">
        <f t="shared" si="1"/>
        <v>1750</v>
      </c>
      <c r="T5" s="69">
        <f t="shared" si="2"/>
        <v>200</v>
      </c>
      <c r="U5" s="12">
        <f t="shared" si="3"/>
        <v>1550</v>
      </c>
      <c r="V5" s="68">
        <f t="shared" si="4"/>
        <v>3530</v>
      </c>
      <c r="W5" s="69">
        <f t="shared" si="5"/>
        <v>200</v>
      </c>
      <c r="X5" s="12">
        <f t="shared" si="6"/>
        <v>1550</v>
      </c>
      <c r="Y5" s="68">
        <f t="shared" si="7"/>
        <v>5280</v>
      </c>
      <c r="Z5" s="68">
        <f t="shared" si="8"/>
        <v>0</v>
      </c>
      <c r="AA5" s="68">
        <f t="shared" si="9"/>
        <v>0</v>
      </c>
      <c r="AB5" s="68">
        <f t="shared" si="10"/>
        <v>0</v>
      </c>
      <c r="AC5" s="69">
        <f t="shared" si="11"/>
        <v>400</v>
      </c>
      <c r="AD5" s="70">
        <f t="shared" si="12"/>
        <v>0</v>
      </c>
      <c r="AE5" s="70">
        <f t="shared" si="13"/>
        <v>0</v>
      </c>
      <c r="AF5" s="12">
        <f t="shared" si="14"/>
        <v>3100</v>
      </c>
    </row>
    <row r="6" spans="1:34" s="21" customFormat="1">
      <c r="A6" s="10" t="s">
        <v>20</v>
      </c>
      <c r="B6" s="65">
        <v>875</v>
      </c>
      <c r="C6" s="11"/>
      <c r="D6" s="11"/>
      <c r="E6" s="11"/>
      <c r="F6" s="66">
        <v>100</v>
      </c>
      <c r="G6" s="13"/>
      <c r="H6" s="13"/>
      <c r="I6" s="16">
        <v>1250</v>
      </c>
      <c r="J6" s="65">
        <v>875</v>
      </c>
      <c r="K6" s="11"/>
      <c r="L6" s="11"/>
      <c r="M6" s="11"/>
      <c r="N6" s="66">
        <v>100</v>
      </c>
      <c r="O6" s="13"/>
      <c r="P6" s="13"/>
      <c r="Q6" s="16">
        <f t="shared" si="0"/>
        <v>1250</v>
      </c>
      <c r="R6" s="67" t="s">
        <v>21</v>
      </c>
      <c r="S6" s="68">
        <f t="shared" si="1"/>
        <v>1750</v>
      </c>
      <c r="T6" s="69">
        <f t="shared" si="2"/>
        <v>200</v>
      </c>
      <c r="U6" s="12">
        <f t="shared" si="3"/>
        <v>2500</v>
      </c>
      <c r="V6" s="68">
        <f t="shared" si="4"/>
        <v>3530</v>
      </c>
      <c r="W6" s="69">
        <f t="shared" si="5"/>
        <v>200</v>
      </c>
      <c r="X6" s="12">
        <f t="shared" si="6"/>
        <v>2500</v>
      </c>
      <c r="Y6" s="68">
        <f t="shared" si="7"/>
        <v>5280</v>
      </c>
      <c r="Z6" s="68">
        <f t="shared" si="8"/>
        <v>0</v>
      </c>
      <c r="AA6" s="68">
        <f t="shared" si="9"/>
        <v>0</v>
      </c>
      <c r="AB6" s="68">
        <f t="shared" si="10"/>
        <v>0</v>
      </c>
      <c r="AC6" s="69">
        <f t="shared" si="11"/>
        <v>400</v>
      </c>
      <c r="AD6" s="70">
        <f t="shared" si="12"/>
        <v>0</v>
      </c>
      <c r="AE6" s="70">
        <f t="shared" si="13"/>
        <v>0</v>
      </c>
      <c r="AF6" s="12">
        <f t="shared" si="14"/>
        <v>5000</v>
      </c>
    </row>
    <row r="7" spans="1:34" s="21" customFormat="1">
      <c r="A7" s="10" t="s">
        <v>22</v>
      </c>
      <c r="B7" s="65">
        <v>875</v>
      </c>
      <c r="C7" s="11"/>
      <c r="D7" s="11"/>
      <c r="E7" s="11"/>
      <c r="F7" s="66">
        <v>100</v>
      </c>
      <c r="G7" s="13"/>
      <c r="H7" s="13"/>
      <c r="I7" s="16">
        <v>1250</v>
      </c>
      <c r="J7" s="65">
        <v>875</v>
      </c>
      <c r="K7" s="11">
        <v>922.9</v>
      </c>
      <c r="L7" s="11"/>
      <c r="M7" s="11"/>
      <c r="N7" s="66">
        <v>100</v>
      </c>
      <c r="O7" s="13"/>
      <c r="P7" s="13"/>
      <c r="Q7" s="16">
        <f t="shared" si="0"/>
        <v>1250</v>
      </c>
      <c r="R7" s="67" t="s">
        <v>21</v>
      </c>
      <c r="S7" s="68">
        <f t="shared" si="1"/>
        <v>1750</v>
      </c>
      <c r="T7" s="69">
        <f t="shared" si="2"/>
        <v>200</v>
      </c>
      <c r="U7" s="12">
        <f t="shared" si="3"/>
        <v>2500</v>
      </c>
      <c r="V7" s="68">
        <f t="shared" si="4"/>
        <v>3530</v>
      </c>
      <c r="W7" s="69">
        <f t="shared" si="5"/>
        <v>200</v>
      </c>
      <c r="X7" s="12">
        <f t="shared" si="6"/>
        <v>2500</v>
      </c>
      <c r="Y7" s="68">
        <f t="shared" si="7"/>
        <v>5280</v>
      </c>
      <c r="Z7" s="68">
        <f t="shared" si="8"/>
        <v>922.9</v>
      </c>
      <c r="AA7" s="68">
        <f t="shared" si="9"/>
        <v>0</v>
      </c>
      <c r="AB7" s="68">
        <f t="shared" si="10"/>
        <v>0</v>
      </c>
      <c r="AC7" s="69">
        <f t="shared" si="11"/>
        <v>400</v>
      </c>
      <c r="AD7" s="70">
        <f t="shared" si="12"/>
        <v>0</v>
      </c>
      <c r="AE7" s="70">
        <f t="shared" si="13"/>
        <v>0</v>
      </c>
      <c r="AF7" s="12">
        <f t="shared" si="14"/>
        <v>5000</v>
      </c>
      <c r="AG7" s="71"/>
      <c r="AH7" s="71"/>
    </row>
    <row r="8" spans="1:34" s="21" customFormat="1">
      <c r="A8" s="10" t="s">
        <v>23</v>
      </c>
      <c r="B8" s="65">
        <v>875</v>
      </c>
      <c r="C8" s="11"/>
      <c r="D8" s="11"/>
      <c r="E8" s="11"/>
      <c r="F8" s="66">
        <v>100</v>
      </c>
      <c r="G8" s="13"/>
      <c r="H8" s="13"/>
      <c r="I8" s="16">
        <v>1250</v>
      </c>
      <c r="J8" s="65">
        <v>875</v>
      </c>
      <c r="K8" s="11"/>
      <c r="L8" s="11"/>
      <c r="M8" s="11"/>
      <c r="N8" s="66">
        <v>100</v>
      </c>
      <c r="O8" s="13"/>
      <c r="P8" s="13"/>
      <c r="Q8" s="16">
        <f t="shared" si="0"/>
        <v>1250</v>
      </c>
      <c r="R8" s="67" t="s">
        <v>18</v>
      </c>
      <c r="S8" s="68">
        <f t="shared" si="1"/>
        <v>1750</v>
      </c>
      <c r="T8" s="69">
        <f t="shared" si="2"/>
        <v>200</v>
      </c>
      <c r="U8" s="12">
        <f t="shared" si="3"/>
        <v>2500</v>
      </c>
      <c r="V8" s="68">
        <f t="shared" si="4"/>
        <v>3530</v>
      </c>
      <c r="W8" s="69">
        <f t="shared" si="5"/>
        <v>200</v>
      </c>
      <c r="X8" s="12">
        <f t="shared" si="6"/>
        <v>2500</v>
      </c>
      <c r="Y8" s="68">
        <f t="shared" si="7"/>
        <v>5280</v>
      </c>
      <c r="Z8" s="68">
        <f t="shared" si="8"/>
        <v>0</v>
      </c>
      <c r="AA8" s="68">
        <f t="shared" si="9"/>
        <v>0</v>
      </c>
      <c r="AB8" s="68">
        <f t="shared" si="10"/>
        <v>0</v>
      </c>
      <c r="AC8" s="69">
        <f t="shared" si="11"/>
        <v>400</v>
      </c>
      <c r="AD8" s="70">
        <f t="shared" si="12"/>
        <v>0</v>
      </c>
      <c r="AE8" s="70">
        <f t="shared" si="13"/>
        <v>0</v>
      </c>
      <c r="AF8" s="12">
        <f t="shared" si="14"/>
        <v>5000</v>
      </c>
      <c r="AG8" s="71"/>
      <c r="AH8" s="71"/>
    </row>
    <row r="9" spans="1:34" s="21" customFormat="1">
      <c r="A9" s="10" t="s">
        <v>24</v>
      </c>
      <c r="B9" s="65">
        <v>875</v>
      </c>
      <c r="C9" s="11"/>
      <c r="D9" s="11"/>
      <c r="E9" s="11"/>
      <c r="F9" s="66">
        <v>100</v>
      </c>
      <c r="G9" s="13"/>
      <c r="H9" s="13"/>
      <c r="I9" s="16">
        <v>612.5</v>
      </c>
      <c r="J9" s="65">
        <v>875</v>
      </c>
      <c r="K9" s="11">
        <v>904.55</v>
      </c>
      <c r="L9" s="11"/>
      <c r="M9" s="11"/>
      <c r="N9" s="66">
        <v>100</v>
      </c>
      <c r="O9" s="13"/>
      <c r="P9" s="13"/>
      <c r="Q9" s="16">
        <f t="shared" si="0"/>
        <v>612.5</v>
      </c>
      <c r="R9" s="67" t="s">
        <v>18</v>
      </c>
      <c r="S9" s="68">
        <f t="shared" si="1"/>
        <v>1750</v>
      </c>
      <c r="T9" s="69">
        <f t="shared" si="2"/>
        <v>200</v>
      </c>
      <c r="U9" s="12">
        <f t="shared" si="3"/>
        <v>1225</v>
      </c>
      <c r="V9" s="68">
        <f t="shared" si="4"/>
        <v>3530</v>
      </c>
      <c r="W9" s="69">
        <f t="shared" si="5"/>
        <v>200</v>
      </c>
      <c r="X9" s="12">
        <f t="shared" si="6"/>
        <v>1225</v>
      </c>
      <c r="Y9" s="68">
        <f t="shared" si="7"/>
        <v>5280</v>
      </c>
      <c r="Z9" s="68">
        <f t="shared" si="8"/>
        <v>904.55</v>
      </c>
      <c r="AA9" s="68">
        <f t="shared" si="9"/>
        <v>0</v>
      </c>
      <c r="AB9" s="68">
        <f t="shared" si="10"/>
        <v>0</v>
      </c>
      <c r="AC9" s="69">
        <f t="shared" si="11"/>
        <v>400</v>
      </c>
      <c r="AD9" s="70">
        <f t="shared" si="12"/>
        <v>0</v>
      </c>
      <c r="AE9" s="70">
        <f t="shared" si="13"/>
        <v>0</v>
      </c>
      <c r="AF9" s="12">
        <f t="shared" si="14"/>
        <v>2450</v>
      </c>
    </row>
    <row r="10" spans="1:34" s="71" customFormat="1">
      <c r="A10" s="10" t="s">
        <v>25</v>
      </c>
      <c r="B10" s="65">
        <v>875</v>
      </c>
      <c r="C10" s="11"/>
      <c r="D10" s="11"/>
      <c r="E10" s="11"/>
      <c r="F10" s="66">
        <v>100</v>
      </c>
      <c r="G10" s="13"/>
      <c r="H10" s="13"/>
      <c r="I10" s="16">
        <v>1250</v>
      </c>
      <c r="J10" s="65">
        <v>875</v>
      </c>
      <c r="K10" s="11"/>
      <c r="L10" s="11"/>
      <c r="M10" s="11"/>
      <c r="N10" s="66">
        <v>100</v>
      </c>
      <c r="O10" s="13"/>
      <c r="P10" s="13"/>
      <c r="Q10" s="16">
        <f t="shared" si="0"/>
        <v>1250</v>
      </c>
      <c r="R10" s="67" t="s">
        <v>16</v>
      </c>
      <c r="S10" s="68">
        <f t="shared" si="1"/>
        <v>1750</v>
      </c>
      <c r="T10" s="69">
        <f t="shared" si="2"/>
        <v>200</v>
      </c>
      <c r="U10" s="12">
        <f t="shared" si="3"/>
        <v>2500</v>
      </c>
      <c r="V10" s="68">
        <f t="shared" si="4"/>
        <v>3530</v>
      </c>
      <c r="W10" s="69">
        <f t="shared" si="5"/>
        <v>200</v>
      </c>
      <c r="X10" s="12">
        <f t="shared" si="6"/>
        <v>2500</v>
      </c>
      <c r="Y10" s="68">
        <f t="shared" si="7"/>
        <v>5280</v>
      </c>
      <c r="Z10" s="68">
        <f t="shared" si="8"/>
        <v>0</v>
      </c>
      <c r="AA10" s="68">
        <f t="shared" si="9"/>
        <v>0</v>
      </c>
      <c r="AB10" s="68">
        <f t="shared" si="10"/>
        <v>0</v>
      </c>
      <c r="AC10" s="69">
        <f t="shared" si="11"/>
        <v>400</v>
      </c>
      <c r="AD10" s="70">
        <f t="shared" si="12"/>
        <v>0</v>
      </c>
      <c r="AE10" s="70">
        <f t="shared" si="13"/>
        <v>0</v>
      </c>
      <c r="AF10" s="12">
        <f t="shared" si="14"/>
        <v>5000</v>
      </c>
      <c r="AG10" s="21"/>
      <c r="AH10" s="21"/>
    </row>
    <row r="11" spans="1:34" s="71" customFormat="1">
      <c r="A11" s="10" t="s">
        <v>26</v>
      </c>
      <c r="B11" s="65">
        <v>875</v>
      </c>
      <c r="C11" s="11"/>
      <c r="D11" s="11"/>
      <c r="E11" s="11"/>
      <c r="F11" s="66">
        <v>100</v>
      </c>
      <c r="G11" s="13"/>
      <c r="H11" s="13"/>
      <c r="I11" s="16">
        <v>1250</v>
      </c>
      <c r="J11" s="65">
        <v>875</v>
      </c>
      <c r="K11" s="11"/>
      <c r="L11" s="11"/>
      <c r="M11" s="11"/>
      <c r="N11" s="66">
        <v>100</v>
      </c>
      <c r="O11" s="13"/>
      <c r="P11" s="13"/>
      <c r="Q11" s="16">
        <f t="shared" si="0"/>
        <v>1250</v>
      </c>
      <c r="R11" s="67" t="s">
        <v>21</v>
      </c>
      <c r="S11" s="68">
        <f t="shared" si="1"/>
        <v>1750</v>
      </c>
      <c r="T11" s="69">
        <f t="shared" si="2"/>
        <v>200</v>
      </c>
      <c r="U11" s="12">
        <f t="shared" si="3"/>
        <v>2500</v>
      </c>
      <c r="V11" s="68">
        <f t="shared" si="4"/>
        <v>3530</v>
      </c>
      <c r="W11" s="69">
        <f t="shared" si="5"/>
        <v>200</v>
      </c>
      <c r="X11" s="12">
        <f t="shared" si="6"/>
        <v>2500</v>
      </c>
      <c r="Y11" s="68">
        <f t="shared" si="7"/>
        <v>5280</v>
      </c>
      <c r="Z11" s="68">
        <f t="shared" si="8"/>
        <v>0</v>
      </c>
      <c r="AA11" s="68">
        <f t="shared" si="9"/>
        <v>0</v>
      </c>
      <c r="AB11" s="68">
        <f t="shared" si="10"/>
        <v>0</v>
      </c>
      <c r="AC11" s="69">
        <f t="shared" si="11"/>
        <v>400</v>
      </c>
      <c r="AD11" s="70">
        <f t="shared" si="12"/>
        <v>0</v>
      </c>
      <c r="AE11" s="70">
        <f t="shared" si="13"/>
        <v>0</v>
      </c>
      <c r="AF11" s="12">
        <f t="shared" si="14"/>
        <v>5000</v>
      </c>
      <c r="AG11" s="21"/>
      <c r="AH11" s="21"/>
    </row>
    <row r="12" spans="1:34" s="71" customFormat="1">
      <c r="A12" s="10" t="s">
        <v>27</v>
      </c>
      <c r="B12" s="65">
        <v>875</v>
      </c>
      <c r="C12" s="11"/>
      <c r="D12" s="11"/>
      <c r="E12" s="11"/>
      <c r="F12" s="66">
        <v>100</v>
      </c>
      <c r="G12" s="13"/>
      <c r="H12" s="13"/>
      <c r="I12" s="16">
        <v>1250</v>
      </c>
      <c r="J12" s="65">
        <v>875</v>
      </c>
      <c r="K12" s="11"/>
      <c r="L12" s="11"/>
      <c r="M12" s="11"/>
      <c r="N12" s="66">
        <v>100</v>
      </c>
      <c r="O12" s="13"/>
      <c r="P12" s="13"/>
      <c r="Q12" s="16">
        <f t="shared" si="0"/>
        <v>1250</v>
      </c>
      <c r="R12" s="67" t="s">
        <v>21</v>
      </c>
      <c r="S12" s="68">
        <f t="shared" si="1"/>
        <v>1750</v>
      </c>
      <c r="T12" s="69">
        <f t="shared" si="2"/>
        <v>200</v>
      </c>
      <c r="U12" s="12">
        <f t="shared" si="3"/>
        <v>2500</v>
      </c>
      <c r="V12" s="68">
        <f t="shared" si="4"/>
        <v>3530</v>
      </c>
      <c r="W12" s="69">
        <f t="shared" si="5"/>
        <v>200</v>
      </c>
      <c r="X12" s="12">
        <f t="shared" si="6"/>
        <v>2500</v>
      </c>
      <c r="Y12" s="68">
        <f t="shared" si="7"/>
        <v>5280</v>
      </c>
      <c r="Z12" s="68">
        <f t="shared" si="8"/>
        <v>0</v>
      </c>
      <c r="AA12" s="68">
        <f t="shared" si="9"/>
        <v>0</v>
      </c>
      <c r="AB12" s="68">
        <f t="shared" si="10"/>
        <v>0</v>
      </c>
      <c r="AC12" s="69">
        <f t="shared" si="11"/>
        <v>400</v>
      </c>
      <c r="AD12" s="70">
        <f t="shared" si="12"/>
        <v>0</v>
      </c>
      <c r="AE12" s="70">
        <f t="shared" si="13"/>
        <v>0</v>
      </c>
      <c r="AF12" s="12">
        <f t="shared" si="14"/>
        <v>5000</v>
      </c>
      <c r="AG12" s="21"/>
      <c r="AH12" s="21"/>
    </row>
    <row r="13" spans="1:34" s="71" customFormat="1">
      <c r="A13" s="10" t="s">
        <v>28</v>
      </c>
      <c r="B13" s="65">
        <v>875</v>
      </c>
      <c r="C13" s="11"/>
      <c r="D13" s="11"/>
      <c r="E13" s="11"/>
      <c r="F13" s="72">
        <v>100</v>
      </c>
      <c r="G13" s="13"/>
      <c r="H13" s="13"/>
      <c r="I13" s="16">
        <v>1000</v>
      </c>
      <c r="J13" s="65">
        <v>875</v>
      </c>
      <c r="K13" s="11"/>
      <c r="L13" s="11"/>
      <c r="M13" s="11"/>
      <c r="N13" s="73">
        <v>100</v>
      </c>
      <c r="O13" s="13"/>
      <c r="P13" s="13"/>
      <c r="Q13" s="16">
        <f t="shared" si="0"/>
        <v>1000</v>
      </c>
      <c r="R13" s="67">
        <v>325</v>
      </c>
      <c r="S13" s="68">
        <f t="shared" si="1"/>
        <v>1750</v>
      </c>
      <c r="T13" s="69">
        <f t="shared" si="2"/>
        <v>200</v>
      </c>
      <c r="U13" s="12">
        <f t="shared" si="3"/>
        <v>2000</v>
      </c>
      <c r="V13" s="68">
        <f t="shared" si="4"/>
        <v>3530</v>
      </c>
      <c r="W13" s="69">
        <f t="shared" si="5"/>
        <v>200</v>
      </c>
      <c r="X13" s="12">
        <f t="shared" si="6"/>
        <v>2000</v>
      </c>
      <c r="Y13" s="68">
        <f t="shared" si="7"/>
        <v>5280</v>
      </c>
      <c r="Z13" s="68">
        <f t="shared" si="8"/>
        <v>0</v>
      </c>
      <c r="AA13" s="68">
        <f t="shared" si="9"/>
        <v>0</v>
      </c>
      <c r="AB13" s="68">
        <f t="shared" si="10"/>
        <v>0</v>
      </c>
      <c r="AC13" s="69">
        <f t="shared" si="11"/>
        <v>400</v>
      </c>
      <c r="AD13" s="70">
        <f t="shared" si="12"/>
        <v>0</v>
      </c>
      <c r="AE13" s="70">
        <f t="shared" si="13"/>
        <v>0</v>
      </c>
      <c r="AF13" s="12">
        <f t="shared" si="14"/>
        <v>4000</v>
      </c>
    </row>
    <row r="14" spans="1:34" s="71" customFormat="1">
      <c r="A14" s="10" t="s">
        <v>29</v>
      </c>
      <c r="B14" s="65">
        <v>875</v>
      </c>
      <c r="C14" s="11"/>
      <c r="D14" s="11"/>
      <c r="E14" s="11"/>
      <c r="F14" s="66">
        <v>100</v>
      </c>
      <c r="G14" s="13"/>
      <c r="H14" s="13"/>
      <c r="I14" s="16">
        <v>1250</v>
      </c>
      <c r="J14" s="65">
        <v>875</v>
      </c>
      <c r="K14" s="11"/>
      <c r="L14" s="11"/>
      <c r="M14" s="11"/>
      <c r="N14" s="66">
        <v>100</v>
      </c>
      <c r="O14" s="13"/>
      <c r="P14" s="13"/>
      <c r="Q14" s="16">
        <f t="shared" si="0"/>
        <v>1250</v>
      </c>
      <c r="R14" s="67" t="s">
        <v>21</v>
      </c>
      <c r="S14" s="68">
        <f t="shared" si="1"/>
        <v>1750</v>
      </c>
      <c r="T14" s="69">
        <f t="shared" si="2"/>
        <v>200</v>
      </c>
      <c r="U14" s="12">
        <f t="shared" si="3"/>
        <v>2500</v>
      </c>
      <c r="V14" s="68">
        <f t="shared" si="4"/>
        <v>3530</v>
      </c>
      <c r="W14" s="69">
        <f t="shared" si="5"/>
        <v>200</v>
      </c>
      <c r="X14" s="12">
        <f t="shared" si="6"/>
        <v>2500</v>
      </c>
      <c r="Y14" s="68">
        <f t="shared" si="7"/>
        <v>5280</v>
      </c>
      <c r="Z14" s="68">
        <f t="shared" si="8"/>
        <v>0</v>
      </c>
      <c r="AA14" s="68">
        <f t="shared" si="9"/>
        <v>0</v>
      </c>
      <c r="AB14" s="68">
        <f t="shared" si="10"/>
        <v>0</v>
      </c>
      <c r="AC14" s="69">
        <f t="shared" si="11"/>
        <v>400</v>
      </c>
      <c r="AD14" s="70">
        <f t="shared" si="12"/>
        <v>0</v>
      </c>
      <c r="AE14" s="70">
        <f t="shared" si="13"/>
        <v>0</v>
      </c>
      <c r="AF14" s="12">
        <f t="shared" si="14"/>
        <v>5000</v>
      </c>
    </row>
    <row r="15" spans="1:34" s="71" customFormat="1">
      <c r="A15" s="10" t="s">
        <v>30</v>
      </c>
      <c r="B15" s="65">
        <v>875</v>
      </c>
      <c r="C15" s="11"/>
      <c r="D15" s="11"/>
      <c r="E15" s="11"/>
      <c r="F15" s="66">
        <v>100</v>
      </c>
      <c r="G15" s="13"/>
      <c r="H15" s="13"/>
      <c r="I15" s="16">
        <v>1250</v>
      </c>
      <c r="J15" s="65">
        <v>875</v>
      </c>
      <c r="K15" s="11"/>
      <c r="L15" s="11"/>
      <c r="M15" s="11"/>
      <c r="N15" s="66">
        <v>100</v>
      </c>
      <c r="O15" s="13"/>
      <c r="P15" s="13"/>
      <c r="Q15" s="16">
        <f t="shared" si="0"/>
        <v>1250</v>
      </c>
      <c r="R15" s="67" t="s">
        <v>21</v>
      </c>
      <c r="S15" s="68">
        <f t="shared" si="1"/>
        <v>1750</v>
      </c>
      <c r="T15" s="69">
        <f t="shared" si="2"/>
        <v>200</v>
      </c>
      <c r="U15" s="12">
        <f t="shared" si="3"/>
        <v>2500</v>
      </c>
      <c r="V15" s="68">
        <f t="shared" si="4"/>
        <v>3530</v>
      </c>
      <c r="W15" s="69">
        <f t="shared" si="5"/>
        <v>200</v>
      </c>
      <c r="X15" s="12">
        <f t="shared" si="6"/>
        <v>2500</v>
      </c>
      <c r="Y15" s="68">
        <f t="shared" si="7"/>
        <v>5280</v>
      </c>
      <c r="Z15" s="68">
        <f t="shared" si="8"/>
        <v>0</v>
      </c>
      <c r="AA15" s="68">
        <f t="shared" si="9"/>
        <v>0</v>
      </c>
      <c r="AB15" s="68">
        <f t="shared" si="10"/>
        <v>0</v>
      </c>
      <c r="AC15" s="69">
        <f t="shared" si="11"/>
        <v>400</v>
      </c>
      <c r="AD15" s="70">
        <f t="shared" si="12"/>
        <v>0</v>
      </c>
      <c r="AE15" s="70">
        <f t="shared" si="13"/>
        <v>0</v>
      </c>
      <c r="AF15" s="12">
        <f t="shared" si="14"/>
        <v>5000</v>
      </c>
    </row>
    <row r="16" spans="1:34" s="71" customFormat="1">
      <c r="A16" s="10" t="s">
        <v>31</v>
      </c>
      <c r="B16" s="65">
        <v>875</v>
      </c>
      <c r="C16" s="11"/>
      <c r="D16" s="11"/>
      <c r="E16" s="11"/>
      <c r="F16" s="66">
        <v>100</v>
      </c>
      <c r="G16" s="13"/>
      <c r="H16" s="13"/>
      <c r="I16" s="16">
        <v>1250</v>
      </c>
      <c r="J16" s="65">
        <v>875</v>
      </c>
      <c r="K16" s="11"/>
      <c r="L16" s="11"/>
      <c r="M16" s="11"/>
      <c r="N16" s="66">
        <v>100</v>
      </c>
      <c r="O16" s="13"/>
      <c r="P16" s="13"/>
      <c r="Q16" s="16">
        <f t="shared" si="0"/>
        <v>1250</v>
      </c>
      <c r="R16" s="67" t="s">
        <v>18</v>
      </c>
      <c r="S16" s="68">
        <f t="shared" si="1"/>
        <v>1750</v>
      </c>
      <c r="T16" s="69">
        <f t="shared" si="2"/>
        <v>200</v>
      </c>
      <c r="U16" s="12">
        <f t="shared" si="3"/>
        <v>2500</v>
      </c>
      <c r="V16" s="68">
        <f t="shared" si="4"/>
        <v>3530</v>
      </c>
      <c r="W16" s="69">
        <f t="shared" si="5"/>
        <v>200</v>
      </c>
      <c r="X16" s="12">
        <f t="shared" si="6"/>
        <v>2500</v>
      </c>
      <c r="Y16" s="68">
        <f t="shared" si="7"/>
        <v>5280</v>
      </c>
      <c r="Z16" s="68">
        <f t="shared" si="8"/>
        <v>0</v>
      </c>
      <c r="AA16" s="68">
        <f t="shared" si="9"/>
        <v>0</v>
      </c>
      <c r="AB16" s="68">
        <f t="shared" si="10"/>
        <v>0</v>
      </c>
      <c r="AC16" s="69">
        <f t="shared" si="11"/>
        <v>400</v>
      </c>
      <c r="AD16" s="70">
        <f t="shared" si="12"/>
        <v>0</v>
      </c>
      <c r="AE16" s="70">
        <f t="shared" si="13"/>
        <v>0</v>
      </c>
      <c r="AF16" s="12">
        <f t="shared" si="14"/>
        <v>5000</v>
      </c>
    </row>
    <row r="17" spans="1:34" s="21" customFormat="1">
      <c r="A17" s="10" t="s">
        <v>32</v>
      </c>
      <c r="B17" s="65">
        <v>875</v>
      </c>
      <c r="C17" s="11"/>
      <c r="D17" s="11"/>
      <c r="E17" s="11"/>
      <c r="F17" s="66">
        <v>100</v>
      </c>
      <c r="G17" s="13"/>
      <c r="H17" s="13"/>
      <c r="I17" s="16">
        <v>1187.5</v>
      </c>
      <c r="J17" s="65">
        <v>875</v>
      </c>
      <c r="K17" s="11"/>
      <c r="L17" s="11"/>
      <c r="M17" s="11"/>
      <c r="N17" s="73">
        <v>100</v>
      </c>
      <c r="O17" s="13"/>
      <c r="P17" s="13"/>
      <c r="Q17" s="16">
        <f t="shared" si="0"/>
        <v>1187.5</v>
      </c>
      <c r="R17" s="67" t="s">
        <v>33</v>
      </c>
      <c r="S17" s="68">
        <f t="shared" si="1"/>
        <v>1750</v>
      </c>
      <c r="T17" s="69">
        <f t="shared" si="2"/>
        <v>200</v>
      </c>
      <c r="U17" s="12">
        <f t="shared" si="3"/>
        <v>2375</v>
      </c>
      <c r="V17" s="68">
        <f t="shared" si="4"/>
        <v>3530</v>
      </c>
      <c r="W17" s="69">
        <f t="shared" si="5"/>
        <v>200</v>
      </c>
      <c r="X17" s="12">
        <f t="shared" si="6"/>
        <v>2375</v>
      </c>
      <c r="Y17" s="68">
        <f t="shared" si="7"/>
        <v>5280</v>
      </c>
      <c r="Z17" s="68">
        <f t="shared" si="8"/>
        <v>0</v>
      </c>
      <c r="AA17" s="68">
        <f t="shared" si="9"/>
        <v>0</v>
      </c>
      <c r="AB17" s="68">
        <f t="shared" si="10"/>
        <v>0</v>
      </c>
      <c r="AC17" s="69">
        <f t="shared" si="11"/>
        <v>400</v>
      </c>
      <c r="AD17" s="70">
        <f t="shared" si="12"/>
        <v>0</v>
      </c>
      <c r="AE17" s="70">
        <f t="shared" si="13"/>
        <v>0</v>
      </c>
      <c r="AF17" s="12">
        <f t="shared" si="14"/>
        <v>4750</v>
      </c>
      <c r="AG17" s="71"/>
      <c r="AH17" s="71"/>
    </row>
    <row r="18" spans="1:34" s="21" customFormat="1">
      <c r="A18" s="10" t="s">
        <v>34</v>
      </c>
      <c r="B18" s="65">
        <v>875</v>
      </c>
      <c r="C18" s="11"/>
      <c r="D18" s="11"/>
      <c r="E18" s="11"/>
      <c r="F18" s="66">
        <v>100</v>
      </c>
      <c r="G18" s="13"/>
      <c r="H18" s="13"/>
      <c r="I18" s="16">
        <v>731.25</v>
      </c>
      <c r="J18" s="65">
        <v>875</v>
      </c>
      <c r="K18" s="11"/>
      <c r="L18" s="11"/>
      <c r="M18" s="11"/>
      <c r="N18" s="66">
        <v>100</v>
      </c>
      <c r="O18" s="13"/>
      <c r="P18" s="13"/>
      <c r="Q18" s="16">
        <f t="shared" si="0"/>
        <v>731.25</v>
      </c>
      <c r="R18" s="67" t="s">
        <v>18</v>
      </c>
      <c r="S18" s="68">
        <f t="shared" si="1"/>
        <v>1750</v>
      </c>
      <c r="T18" s="69">
        <f t="shared" si="2"/>
        <v>200</v>
      </c>
      <c r="U18" s="12">
        <f t="shared" si="3"/>
        <v>1462.5</v>
      </c>
      <c r="V18" s="68">
        <f t="shared" si="4"/>
        <v>3530</v>
      </c>
      <c r="W18" s="69">
        <f t="shared" si="5"/>
        <v>200</v>
      </c>
      <c r="X18" s="12">
        <f t="shared" si="6"/>
        <v>1462.5</v>
      </c>
      <c r="Y18" s="68">
        <f t="shared" si="7"/>
        <v>5280</v>
      </c>
      <c r="Z18" s="68">
        <f t="shared" si="8"/>
        <v>0</v>
      </c>
      <c r="AA18" s="68">
        <f t="shared" si="9"/>
        <v>0</v>
      </c>
      <c r="AB18" s="68">
        <f t="shared" si="10"/>
        <v>0</v>
      </c>
      <c r="AC18" s="69">
        <f t="shared" si="11"/>
        <v>400</v>
      </c>
      <c r="AD18" s="70">
        <f t="shared" si="12"/>
        <v>0</v>
      </c>
      <c r="AE18" s="70">
        <f t="shared" si="13"/>
        <v>0</v>
      </c>
      <c r="AF18" s="12">
        <f t="shared" si="14"/>
        <v>2925</v>
      </c>
      <c r="AG18" s="71"/>
      <c r="AH18" s="71"/>
    </row>
    <row r="19" spans="1:34" s="21" customFormat="1">
      <c r="A19" s="10" t="s">
        <v>35</v>
      </c>
      <c r="B19" s="65">
        <v>875</v>
      </c>
      <c r="C19" s="11"/>
      <c r="D19" s="11"/>
      <c r="E19" s="11"/>
      <c r="F19" s="66">
        <v>100</v>
      </c>
      <c r="G19" s="13"/>
      <c r="H19" s="13"/>
      <c r="I19" s="16">
        <v>1012.5</v>
      </c>
      <c r="J19" s="65">
        <v>875</v>
      </c>
      <c r="K19" s="11"/>
      <c r="L19" s="11"/>
      <c r="M19" s="11"/>
      <c r="N19" s="66">
        <v>100</v>
      </c>
      <c r="O19" s="13"/>
      <c r="P19" s="13"/>
      <c r="Q19" s="16">
        <f t="shared" si="0"/>
        <v>1012.5</v>
      </c>
      <c r="R19" s="67" t="s">
        <v>18</v>
      </c>
      <c r="S19" s="68">
        <f t="shared" si="1"/>
        <v>1750</v>
      </c>
      <c r="T19" s="69">
        <f t="shared" si="2"/>
        <v>200</v>
      </c>
      <c r="U19" s="12">
        <f t="shared" si="3"/>
        <v>2025</v>
      </c>
      <c r="V19" s="68">
        <f t="shared" si="4"/>
        <v>3530</v>
      </c>
      <c r="W19" s="69">
        <f t="shared" si="5"/>
        <v>200</v>
      </c>
      <c r="X19" s="12">
        <f t="shared" si="6"/>
        <v>2025</v>
      </c>
      <c r="Y19" s="68">
        <f t="shared" si="7"/>
        <v>5280</v>
      </c>
      <c r="Z19" s="68">
        <f t="shared" si="8"/>
        <v>0</v>
      </c>
      <c r="AA19" s="68">
        <f t="shared" si="9"/>
        <v>0</v>
      </c>
      <c r="AB19" s="68">
        <f t="shared" si="10"/>
        <v>0</v>
      </c>
      <c r="AC19" s="69">
        <f t="shared" si="11"/>
        <v>400</v>
      </c>
      <c r="AD19" s="70">
        <f t="shared" si="12"/>
        <v>0</v>
      </c>
      <c r="AE19" s="70">
        <f t="shared" si="13"/>
        <v>0</v>
      </c>
      <c r="AF19" s="12">
        <f t="shared" si="14"/>
        <v>4050</v>
      </c>
      <c r="AG19" s="71"/>
      <c r="AH19" s="71"/>
    </row>
    <row r="20" spans="1:34" s="21" customFormat="1">
      <c r="A20" s="10" t="s">
        <v>36</v>
      </c>
      <c r="B20" s="65">
        <v>875</v>
      </c>
      <c r="C20" s="11"/>
      <c r="D20" s="11"/>
      <c r="E20" s="11"/>
      <c r="F20" s="66">
        <v>100</v>
      </c>
      <c r="G20" s="13"/>
      <c r="H20" s="13"/>
      <c r="I20" s="16">
        <v>693.75</v>
      </c>
      <c r="J20" s="65">
        <v>875</v>
      </c>
      <c r="K20" s="11"/>
      <c r="L20" s="11"/>
      <c r="M20" s="11"/>
      <c r="N20" s="66">
        <v>100</v>
      </c>
      <c r="O20" s="13"/>
      <c r="P20" s="13"/>
      <c r="Q20" s="16">
        <f t="shared" si="0"/>
        <v>693.75</v>
      </c>
      <c r="R20" s="67" t="s">
        <v>18</v>
      </c>
      <c r="S20" s="68">
        <f t="shared" si="1"/>
        <v>1750</v>
      </c>
      <c r="T20" s="69">
        <f t="shared" si="2"/>
        <v>200</v>
      </c>
      <c r="U20" s="12">
        <f t="shared" si="3"/>
        <v>1387.5</v>
      </c>
      <c r="V20" s="68">
        <f t="shared" si="4"/>
        <v>3530</v>
      </c>
      <c r="W20" s="69">
        <f t="shared" si="5"/>
        <v>200</v>
      </c>
      <c r="X20" s="12">
        <f t="shared" si="6"/>
        <v>1387.5</v>
      </c>
      <c r="Y20" s="68">
        <f t="shared" si="7"/>
        <v>5280</v>
      </c>
      <c r="Z20" s="68">
        <f t="shared" si="8"/>
        <v>0</v>
      </c>
      <c r="AA20" s="68">
        <f t="shared" si="9"/>
        <v>0</v>
      </c>
      <c r="AB20" s="68">
        <f t="shared" si="10"/>
        <v>0</v>
      </c>
      <c r="AC20" s="69">
        <f t="shared" si="11"/>
        <v>400</v>
      </c>
      <c r="AD20" s="70">
        <f t="shared" si="12"/>
        <v>0</v>
      </c>
      <c r="AE20" s="70">
        <f t="shared" si="13"/>
        <v>0</v>
      </c>
      <c r="AF20" s="12">
        <f t="shared" si="14"/>
        <v>2775</v>
      </c>
      <c r="AG20" s="71"/>
      <c r="AH20" s="71"/>
    </row>
    <row r="21" spans="1:34" s="21" customFormat="1">
      <c r="A21" s="10" t="s">
        <v>37</v>
      </c>
      <c r="B21" s="65">
        <v>875</v>
      </c>
      <c r="C21" s="11">
        <v>922.9</v>
      </c>
      <c r="D21" s="11">
        <v>447.73</v>
      </c>
      <c r="E21" s="11"/>
      <c r="F21" s="66">
        <v>100</v>
      </c>
      <c r="G21" s="13"/>
      <c r="H21" s="13"/>
      <c r="I21" s="16">
        <v>1250</v>
      </c>
      <c r="J21" s="65">
        <v>875</v>
      </c>
      <c r="K21" s="11">
        <v>922.9</v>
      </c>
      <c r="L21" s="11">
        <v>447.73</v>
      </c>
      <c r="M21" s="11"/>
      <c r="N21" s="66">
        <v>100</v>
      </c>
      <c r="O21" s="13"/>
      <c r="P21" s="13"/>
      <c r="Q21" s="16">
        <f t="shared" si="0"/>
        <v>1250</v>
      </c>
      <c r="R21" s="67" t="s">
        <v>18</v>
      </c>
      <c r="S21" s="68">
        <f t="shared" si="1"/>
        <v>1750</v>
      </c>
      <c r="T21" s="69">
        <f t="shared" si="2"/>
        <v>200</v>
      </c>
      <c r="U21" s="12">
        <f t="shared" si="3"/>
        <v>2500</v>
      </c>
      <c r="V21" s="68">
        <f t="shared" si="4"/>
        <v>3530</v>
      </c>
      <c r="W21" s="69">
        <f t="shared" si="5"/>
        <v>200</v>
      </c>
      <c r="X21" s="12">
        <f t="shared" si="6"/>
        <v>2500</v>
      </c>
      <c r="Y21" s="68">
        <f t="shared" si="7"/>
        <v>5280</v>
      </c>
      <c r="Z21" s="68">
        <f t="shared" si="8"/>
        <v>1845.8</v>
      </c>
      <c r="AA21" s="68">
        <f t="shared" si="9"/>
        <v>895.46</v>
      </c>
      <c r="AB21" s="68">
        <f t="shared" si="10"/>
        <v>0</v>
      </c>
      <c r="AC21" s="69">
        <f t="shared" si="11"/>
        <v>400</v>
      </c>
      <c r="AD21" s="70">
        <f t="shared" si="12"/>
        <v>0</v>
      </c>
      <c r="AE21" s="70">
        <f t="shared" si="13"/>
        <v>0</v>
      </c>
      <c r="AF21" s="12">
        <f t="shared" si="14"/>
        <v>5000</v>
      </c>
      <c r="AG21" s="71"/>
      <c r="AH21" s="71"/>
    </row>
    <row r="22" spans="1:34" s="21" customFormat="1">
      <c r="A22" s="15" t="s">
        <v>38</v>
      </c>
      <c r="B22" s="65">
        <v>875</v>
      </c>
      <c r="C22" s="11">
        <v>922.9</v>
      </c>
      <c r="D22" s="11"/>
      <c r="E22" s="11"/>
      <c r="F22" s="66">
        <v>100</v>
      </c>
      <c r="G22" s="13"/>
      <c r="H22" s="13"/>
      <c r="I22" s="16">
        <v>1250</v>
      </c>
      <c r="J22" s="65">
        <v>875</v>
      </c>
      <c r="K22" s="11">
        <v>922.9</v>
      </c>
      <c r="L22" s="11"/>
      <c r="M22" s="11"/>
      <c r="N22" s="66">
        <v>100</v>
      </c>
      <c r="O22" s="13"/>
      <c r="P22" s="13"/>
      <c r="Q22" s="16">
        <f t="shared" si="0"/>
        <v>1250</v>
      </c>
      <c r="R22" s="67" t="s">
        <v>21</v>
      </c>
      <c r="S22" s="68">
        <f t="shared" si="1"/>
        <v>1750</v>
      </c>
      <c r="T22" s="69">
        <f t="shared" si="2"/>
        <v>200</v>
      </c>
      <c r="U22" s="12">
        <f t="shared" si="3"/>
        <v>2500</v>
      </c>
      <c r="V22" s="68">
        <f t="shared" si="4"/>
        <v>3530</v>
      </c>
      <c r="W22" s="69">
        <f t="shared" si="5"/>
        <v>200</v>
      </c>
      <c r="X22" s="12">
        <f t="shared" si="6"/>
        <v>2500</v>
      </c>
      <c r="Y22" s="68">
        <f t="shared" si="7"/>
        <v>5280</v>
      </c>
      <c r="Z22" s="68">
        <f t="shared" si="8"/>
        <v>1845.8</v>
      </c>
      <c r="AA22" s="68">
        <f t="shared" si="9"/>
        <v>0</v>
      </c>
      <c r="AB22" s="68">
        <f t="shared" si="10"/>
        <v>0</v>
      </c>
      <c r="AC22" s="69">
        <f t="shared" si="11"/>
        <v>400</v>
      </c>
      <c r="AD22" s="70">
        <f t="shared" si="12"/>
        <v>0</v>
      </c>
      <c r="AE22" s="70">
        <f t="shared" si="13"/>
        <v>0</v>
      </c>
      <c r="AF22" s="12">
        <f t="shared" si="14"/>
        <v>5000</v>
      </c>
      <c r="AG22" s="71"/>
      <c r="AH22" s="71"/>
    </row>
    <row r="23" spans="1:34" s="71" customFormat="1">
      <c r="A23" s="10" t="s">
        <v>39</v>
      </c>
      <c r="B23" s="65">
        <v>875</v>
      </c>
      <c r="C23" s="11"/>
      <c r="D23" s="11"/>
      <c r="E23" s="11"/>
      <c r="F23" s="66">
        <v>100</v>
      </c>
      <c r="G23" s="74"/>
      <c r="H23" s="74"/>
      <c r="I23" s="16">
        <v>1250</v>
      </c>
      <c r="J23" s="65">
        <v>875</v>
      </c>
      <c r="K23" s="11"/>
      <c r="L23" s="11"/>
      <c r="M23" s="11"/>
      <c r="N23" s="66">
        <v>100</v>
      </c>
      <c r="O23" s="74"/>
      <c r="P23" s="74"/>
      <c r="Q23" s="16">
        <f t="shared" si="0"/>
        <v>1250</v>
      </c>
      <c r="R23" s="67" t="s">
        <v>21</v>
      </c>
      <c r="S23" s="68">
        <f t="shared" si="1"/>
        <v>1750</v>
      </c>
      <c r="T23" s="69">
        <f t="shared" si="2"/>
        <v>200</v>
      </c>
      <c r="U23" s="12">
        <f t="shared" si="3"/>
        <v>2500</v>
      </c>
      <c r="V23" s="68">
        <f t="shared" si="4"/>
        <v>3530</v>
      </c>
      <c r="W23" s="69">
        <f t="shared" si="5"/>
        <v>200</v>
      </c>
      <c r="X23" s="12">
        <f t="shared" si="6"/>
        <v>2500</v>
      </c>
      <c r="Y23" s="68">
        <f t="shared" si="7"/>
        <v>5280</v>
      </c>
      <c r="Z23" s="68">
        <f t="shared" si="8"/>
        <v>0</v>
      </c>
      <c r="AA23" s="68">
        <f t="shared" si="9"/>
        <v>0</v>
      </c>
      <c r="AB23" s="68">
        <f t="shared" si="10"/>
        <v>0</v>
      </c>
      <c r="AC23" s="69">
        <f t="shared" si="11"/>
        <v>400</v>
      </c>
      <c r="AD23" s="70">
        <f t="shared" si="12"/>
        <v>0</v>
      </c>
      <c r="AE23" s="70">
        <f t="shared" si="13"/>
        <v>0</v>
      </c>
      <c r="AF23" s="12">
        <f t="shared" si="14"/>
        <v>5000</v>
      </c>
      <c r="AG23" s="21"/>
      <c r="AH23" s="21"/>
    </row>
    <row r="24" spans="1:34" s="71" customFormat="1">
      <c r="A24" s="10" t="s">
        <v>40</v>
      </c>
      <c r="B24" s="65">
        <v>875</v>
      </c>
      <c r="C24" s="11"/>
      <c r="D24" s="11"/>
      <c r="E24" s="11"/>
      <c r="F24" s="66">
        <v>100</v>
      </c>
      <c r="G24" s="13"/>
      <c r="H24" s="13"/>
      <c r="I24" s="16">
        <v>1250</v>
      </c>
      <c r="J24" s="65">
        <v>875</v>
      </c>
      <c r="K24" s="11"/>
      <c r="L24" s="11"/>
      <c r="M24" s="11"/>
      <c r="N24" s="66">
        <v>100</v>
      </c>
      <c r="O24" s="13"/>
      <c r="P24" s="13"/>
      <c r="Q24" s="16">
        <f t="shared" si="0"/>
        <v>1250</v>
      </c>
      <c r="R24" s="67" t="s">
        <v>21</v>
      </c>
      <c r="S24" s="68">
        <f t="shared" si="1"/>
        <v>1750</v>
      </c>
      <c r="T24" s="69">
        <f t="shared" si="2"/>
        <v>200</v>
      </c>
      <c r="U24" s="12">
        <f t="shared" si="3"/>
        <v>2500</v>
      </c>
      <c r="V24" s="68">
        <f t="shared" si="4"/>
        <v>3530</v>
      </c>
      <c r="W24" s="69">
        <f t="shared" si="5"/>
        <v>200</v>
      </c>
      <c r="X24" s="12">
        <f t="shared" si="6"/>
        <v>2500</v>
      </c>
      <c r="Y24" s="68">
        <f t="shared" si="7"/>
        <v>5280</v>
      </c>
      <c r="Z24" s="68">
        <f t="shared" si="8"/>
        <v>0</v>
      </c>
      <c r="AA24" s="68">
        <f t="shared" si="9"/>
        <v>0</v>
      </c>
      <c r="AB24" s="68">
        <f t="shared" si="10"/>
        <v>0</v>
      </c>
      <c r="AC24" s="69">
        <f t="shared" si="11"/>
        <v>400</v>
      </c>
      <c r="AD24" s="70">
        <f t="shared" si="12"/>
        <v>0</v>
      </c>
      <c r="AE24" s="70">
        <f t="shared" si="13"/>
        <v>0</v>
      </c>
      <c r="AF24" s="12">
        <f t="shared" si="14"/>
        <v>5000</v>
      </c>
      <c r="AG24" s="21"/>
      <c r="AH24" s="21"/>
    </row>
    <row r="25" spans="1:34" s="71" customFormat="1">
      <c r="A25" s="10" t="s">
        <v>41</v>
      </c>
      <c r="B25" s="65">
        <v>875</v>
      </c>
      <c r="C25" s="11"/>
      <c r="D25" s="11"/>
      <c r="E25" s="11"/>
      <c r="F25" s="66">
        <v>100</v>
      </c>
      <c r="G25" s="13"/>
      <c r="H25" s="13"/>
      <c r="I25" s="16">
        <v>1250</v>
      </c>
      <c r="J25" s="65">
        <v>875</v>
      </c>
      <c r="K25" s="11"/>
      <c r="L25" s="11"/>
      <c r="M25" s="11"/>
      <c r="N25" s="66">
        <v>100</v>
      </c>
      <c r="O25" s="13"/>
      <c r="P25" s="13"/>
      <c r="Q25" s="16">
        <f t="shared" si="0"/>
        <v>1250</v>
      </c>
      <c r="R25" s="67" t="s">
        <v>21</v>
      </c>
      <c r="S25" s="68">
        <f t="shared" si="1"/>
        <v>1750</v>
      </c>
      <c r="T25" s="69">
        <f t="shared" si="2"/>
        <v>200</v>
      </c>
      <c r="U25" s="12">
        <f t="shared" si="3"/>
        <v>2500</v>
      </c>
      <c r="V25" s="68">
        <f t="shared" si="4"/>
        <v>3530</v>
      </c>
      <c r="W25" s="69">
        <f t="shared" si="5"/>
        <v>200</v>
      </c>
      <c r="X25" s="12">
        <f t="shared" si="6"/>
        <v>2500</v>
      </c>
      <c r="Y25" s="68">
        <f t="shared" si="7"/>
        <v>5280</v>
      </c>
      <c r="Z25" s="68">
        <f t="shared" si="8"/>
        <v>0</v>
      </c>
      <c r="AA25" s="68">
        <f t="shared" si="9"/>
        <v>0</v>
      </c>
      <c r="AB25" s="68">
        <f t="shared" si="10"/>
        <v>0</v>
      </c>
      <c r="AC25" s="69">
        <f t="shared" si="11"/>
        <v>400</v>
      </c>
      <c r="AD25" s="70">
        <f t="shared" si="12"/>
        <v>0</v>
      </c>
      <c r="AE25" s="70">
        <f t="shared" si="13"/>
        <v>0</v>
      </c>
      <c r="AF25" s="12">
        <f t="shared" si="14"/>
        <v>5000</v>
      </c>
      <c r="AG25" s="21"/>
      <c r="AH25" s="21"/>
    </row>
    <row r="26" spans="1:34" s="71" customFormat="1">
      <c r="A26" s="10" t="s">
        <v>42</v>
      </c>
      <c r="B26" s="65">
        <v>875</v>
      </c>
      <c r="C26" s="11">
        <v>904.55</v>
      </c>
      <c r="D26" s="11"/>
      <c r="E26" s="11"/>
      <c r="F26" s="66">
        <v>200</v>
      </c>
      <c r="G26" s="13">
        <v>357.73</v>
      </c>
      <c r="H26" s="13">
        <v>108.14</v>
      </c>
      <c r="I26" s="16">
        <v>728.75</v>
      </c>
      <c r="J26" s="65">
        <v>875</v>
      </c>
      <c r="K26" s="11">
        <v>904.54499999999996</v>
      </c>
      <c r="L26" s="11"/>
      <c r="M26" s="11"/>
      <c r="N26" s="66">
        <v>200</v>
      </c>
      <c r="O26" s="13">
        <v>357.73</v>
      </c>
      <c r="P26" s="13">
        <v>108.14</v>
      </c>
      <c r="Q26" s="16">
        <f t="shared" si="0"/>
        <v>728.75</v>
      </c>
      <c r="R26" s="67" t="s">
        <v>18</v>
      </c>
      <c r="S26" s="68">
        <f t="shared" si="1"/>
        <v>1750</v>
      </c>
      <c r="T26" s="69">
        <f t="shared" si="2"/>
        <v>400</v>
      </c>
      <c r="U26" s="12">
        <f t="shared" si="3"/>
        <v>1457.5</v>
      </c>
      <c r="V26" s="68">
        <f t="shared" si="4"/>
        <v>3530</v>
      </c>
      <c r="W26" s="69">
        <f t="shared" si="5"/>
        <v>400</v>
      </c>
      <c r="X26" s="12">
        <f t="shared" si="6"/>
        <v>1457.5</v>
      </c>
      <c r="Y26" s="68">
        <f t="shared" si="7"/>
        <v>5280</v>
      </c>
      <c r="Z26" s="68">
        <f t="shared" si="8"/>
        <v>1809.0949999999998</v>
      </c>
      <c r="AA26" s="68">
        <f t="shared" si="9"/>
        <v>0</v>
      </c>
      <c r="AB26" s="68">
        <f t="shared" si="10"/>
        <v>0</v>
      </c>
      <c r="AC26" s="69">
        <f t="shared" si="11"/>
        <v>800</v>
      </c>
      <c r="AD26" s="70">
        <f t="shared" si="12"/>
        <v>715.46</v>
      </c>
      <c r="AE26" s="70">
        <f t="shared" si="13"/>
        <v>216.28</v>
      </c>
      <c r="AF26" s="12">
        <f t="shared" si="14"/>
        <v>2915</v>
      </c>
    </row>
    <row r="27" spans="1:34" s="71" customFormat="1">
      <c r="A27" s="10" t="s">
        <v>43</v>
      </c>
      <c r="B27" s="65">
        <v>875</v>
      </c>
      <c r="C27" s="11">
        <v>922.9</v>
      </c>
      <c r="D27" s="11"/>
      <c r="E27" s="11"/>
      <c r="F27" s="66">
        <v>100</v>
      </c>
      <c r="G27" s="13">
        <v>759.41</v>
      </c>
      <c r="H27" s="13"/>
      <c r="I27" s="16">
        <v>1250</v>
      </c>
      <c r="J27" s="65">
        <v>875</v>
      </c>
      <c r="K27" s="11">
        <v>922.9</v>
      </c>
      <c r="L27" s="11"/>
      <c r="M27" s="11"/>
      <c r="N27" s="66">
        <v>100</v>
      </c>
      <c r="O27" s="13">
        <v>759.41</v>
      </c>
      <c r="P27" s="13"/>
      <c r="Q27" s="16">
        <f t="shared" si="0"/>
        <v>1250</v>
      </c>
      <c r="R27" s="67" t="s">
        <v>21</v>
      </c>
      <c r="S27" s="68">
        <f t="shared" si="1"/>
        <v>1750</v>
      </c>
      <c r="T27" s="69">
        <f t="shared" si="2"/>
        <v>200</v>
      </c>
      <c r="U27" s="12">
        <f t="shared" si="3"/>
        <v>2500</v>
      </c>
      <c r="V27" s="68">
        <f t="shared" si="4"/>
        <v>3530</v>
      </c>
      <c r="W27" s="69">
        <f t="shared" si="5"/>
        <v>200</v>
      </c>
      <c r="X27" s="12">
        <f t="shared" si="6"/>
        <v>2500</v>
      </c>
      <c r="Y27" s="68">
        <f t="shared" si="7"/>
        <v>5280</v>
      </c>
      <c r="Z27" s="68">
        <f t="shared" si="8"/>
        <v>1845.8</v>
      </c>
      <c r="AA27" s="68">
        <f t="shared" si="9"/>
        <v>0</v>
      </c>
      <c r="AB27" s="68">
        <f t="shared" si="10"/>
        <v>0</v>
      </c>
      <c r="AC27" s="69">
        <f t="shared" si="11"/>
        <v>400</v>
      </c>
      <c r="AD27" s="70">
        <f t="shared" si="12"/>
        <v>1518.82</v>
      </c>
      <c r="AE27" s="70">
        <f t="shared" si="13"/>
        <v>0</v>
      </c>
      <c r="AF27" s="12">
        <f t="shared" si="14"/>
        <v>5000</v>
      </c>
      <c r="AG27" s="21"/>
      <c r="AH27" s="21"/>
    </row>
    <row r="28" spans="1:34" s="71" customFormat="1">
      <c r="A28" s="10" t="s">
        <v>44</v>
      </c>
      <c r="B28" s="65">
        <v>875</v>
      </c>
      <c r="C28" s="11"/>
      <c r="D28" s="11"/>
      <c r="E28" s="11"/>
      <c r="F28" s="66">
        <v>100</v>
      </c>
      <c r="G28" s="13"/>
      <c r="H28" s="13"/>
      <c r="I28" s="16">
        <v>1250</v>
      </c>
      <c r="J28" s="65">
        <v>875</v>
      </c>
      <c r="K28" s="11"/>
      <c r="L28" s="11"/>
      <c r="M28" s="11"/>
      <c r="N28" s="66">
        <v>100</v>
      </c>
      <c r="O28" s="13"/>
      <c r="P28" s="13"/>
      <c r="Q28" s="16">
        <f t="shared" si="0"/>
        <v>1250</v>
      </c>
      <c r="R28" s="67" t="s">
        <v>21</v>
      </c>
      <c r="S28" s="68">
        <f t="shared" si="1"/>
        <v>1750</v>
      </c>
      <c r="T28" s="69">
        <f t="shared" si="2"/>
        <v>200</v>
      </c>
      <c r="U28" s="12">
        <f t="shared" si="3"/>
        <v>2500</v>
      </c>
      <c r="V28" s="68">
        <f t="shared" si="4"/>
        <v>3530</v>
      </c>
      <c r="W28" s="69">
        <f t="shared" si="5"/>
        <v>200</v>
      </c>
      <c r="X28" s="12">
        <f t="shared" si="6"/>
        <v>2500</v>
      </c>
      <c r="Y28" s="68">
        <f t="shared" si="7"/>
        <v>5280</v>
      </c>
      <c r="Z28" s="68">
        <f t="shared" si="8"/>
        <v>0</v>
      </c>
      <c r="AA28" s="68">
        <f t="shared" si="9"/>
        <v>0</v>
      </c>
      <c r="AB28" s="68">
        <f t="shared" si="10"/>
        <v>0</v>
      </c>
      <c r="AC28" s="69">
        <f t="shared" si="11"/>
        <v>400</v>
      </c>
      <c r="AD28" s="70">
        <f t="shared" si="12"/>
        <v>0</v>
      </c>
      <c r="AE28" s="70">
        <f t="shared" si="13"/>
        <v>0</v>
      </c>
      <c r="AF28" s="12">
        <f t="shared" si="14"/>
        <v>5000</v>
      </c>
      <c r="AG28" s="21"/>
      <c r="AH28" s="21"/>
    </row>
    <row r="29" spans="1:34" s="71" customFormat="1">
      <c r="A29" s="10" t="s">
        <v>45</v>
      </c>
      <c r="B29" s="65">
        <v>875</v>
      </c>
      <c r="C29" s="11">
        <v>922.9</v>
      </c>
      <c r="D29" s="11"/>
      <c r="E29" s="11"/>
      <c r="F29" s="66">
        <v>100</v>
      </c>
      <c r="G29" s="13"/>
      <c r="H29" s="13"/>
      <c r="I29" s="16">
        <v>1250</v>
      </c>
      <c r="J29" s="65">
        <v>875</v>
      </c>
      <c r="K29" s="11">
        <v>922.9</v>
      </c>
      <c r="L29" s="11"/>
      <c r="M29" s="11"/>
      <c r="N29" s="66">
        <v>100</v>
      </c>
      <c r="O29" s="13"/>
      <c r="P29" s="13"/>
      <c r="Q29" s="16">
        <f t="shared" si="0"/>
        <v>1250</v>
      </c>
      <c r="R29" s="67" t="s">
        <v>18</v>
      </c>
      <c r="S29" s="68">
        <f t="shared" si="1"/>
        <v>1750</v>
      </c>
      <c r="T29" s="69">
        <f t="shared" si="2"/>
        <v>200</v>
      </c>
      <c r="U29" s="12">
        <f t="shared" si="3"/>
        <v>2500</v>
      </c>
      <c r="V29" s="68">
        <f t="shared" si="4"/>
        <v>3530</v>
      </c>
      <c r="W29" s="69">
        <f t="shared" si="5"/>
        <v>200</v>
      </c>
      <c r="X29" s="12">
        <f t="shared" si="6"/>
        <v>2500</v>
      </c>
      <c r="Y29" s="68">
        <f t="shared" si="7"/>
        <v>5280</v>
      </c>
      <c r="Z29" s="68">
        <f t="shared" si="8"/>
        <v>1845.8</v>
      </c>
      <c r="AA29" s="68">
        <f t="shared" si="9"/>
        <v>0</v>
      </c>
      <c r="AB29" s="68">
        <f t="shared" si="10"/>
        <v>0</v>
      </c>
      <c r="AC29" s="69">
        <f t="shared" si="11"/>
        <v>400</v>
      </c>
      <c r="AD29" s="70">
        <f t="shared" si="12"/>
        <v>0</v>
      </c>
      <c r="AE29" s="70">
        <f t="shared" si="13"/>
        <v>0</v>
      </c>
      <c r="AF29" s="12">
        <f t="shared" si="14"/>
        <v>5000</v>
      </c>
      <c r="AG29" s="21"/>
      <c r="AH29" s="21"/>
    </row>
    <row r="30" spans="1:34" s="71" customFormat="1">
      <c r="A30" s="10" t="s">
        <v>46</v>
      </c>
      <c r="B30" s="65">
        <v>875</v>
      </c>
      <c r="C30" s="11">
        <v>922.9</v>
      </c>
      <c r="D30" s="11"/>
      <c r="E30" s="11"/>
      <c r="F30" s="66">
        <v>100</v>
      </c>
      <c r="G30" s="13"/>
      <c r="H30" s="13"/>
      <c r="I30" s="16">
        <v>1250</v>
      </c>
      <c r="J30" s="65">
        <v>875</v>
      </c>
      <c r="K30" s="11">
        <v>922.9</v>
      </c>
      <c r="L30" s="11"/>
      <c r="M30" s="11"/>
      <c r="N30" s="66">
        <v>100</v>
      </c>
      <c r="O30" s="13"/>
      <c r="P30" s="13"/>
      <c r="Q30" s="16">
        <f t="shared" si="0"/>
        <v>1250</v>
      </c>
      <c r="R30" s="67" t="s">
        <v>21</v>
      </c>
      <c r="S30" s="68">
        <f t="shared" si="1"/>
        <v>1750</v>
      </c>
      <c r="T30" s="69">
        <f t="shared" si="2"/>
        <v>200</v>
      </c>
      <c r="U30" s="12">
        <f t="shared" si="3"/>
        <v>2500</v>
      </c>
      <c r="V30" s="68">
        <f t="shared" si="4"/>
        <v>3530</v>
      </c>
      <c r="W30" s="69">
        <f t="shared" si="5"/>
        <v>200</v>
      </c>
      <c r="X30" s="12">
        <f t="shared" si="6"/>
        <v>2500</v>
      </c>
      <c r="Y30" s="68">
        <f t="shared" si="7"/>
        <v>5280</v>
      </c>
      <c r="Z30" s="68">
        <f t="shared" si="8"/>
        <v>1845.8</v>
      </c>
      <c r="AA30" s="68">
        <f t="shared" si="9"/>
        <v>0</v>
      </c>
      <c r="AB30" s="68">
        <f t="shared" si="10"/>
        <v>0</v>
      </c>
      <c r="AC30" s="69">
        <f t="shared" si="11"/>
        <v>400</v>
      </c>
      <c r="AD30" s="70">
        <f t="shared" si="12"/>
        <v>0</v>
      </c>
      <c r="AE30" s="70">
        <f t="shared" si="13"/>
        <v>0</v>
      </c>
      <c r="AF30" s="12">
        <f t="shared" si="14"/>
        <v>5000</v>
      </c>
      <c r="AG30" s="21"/>
      <c r="AH30" s="21"/>
    </row>
    <row r="31" spans="1:34" s="71" customFormat="1">
      <c r="A31" s="10" t="s">
        <v>47</v>
      </c>
      <c r="B31" s="65">
        <v>875</v>
      </c>
      <c r="C31" s="11"/>
      <c r="D31" s="11"/>
      <c r="E31" s="11"/>
      <c r="F31" s="66">
        <v>100</v>
      </c>
      <c r="G31" s="13"/>
      <c r="H31" s="13"/>
      <c r="I31" s="16">
        <v>1250</v>
      </c>
      <c r="J31" s="65">
        <v>875</v>
      </c>
      <c r="K31" s="11"/>
      <c r="L31" s="11"/>
      <c r="M31" s="11"/>
      <c r="N31" s="66">
        <v>100</v>
      </c>
      <c r="O31" s="13"/>
      <c r="P31" s="13"/>
      <c r="Q31" s="16">
        <f t="shared" si="0"/>
        <v>1250</v>
      </c>
      <c r="R31" s="67" t="s">
        <v>21</v>
      </c>
      <c r="S31" s="68">
        <f t="shared" si="1"/>
        <v>1750</v>
      </c>
      <c r="T31" s="69">
        <f t="shared" si="2"/>
        <v>200</v>
      </c>
      <c r="U31" s="12">
        <f t="shared" si="3"/>
        <v>2500</v>
      </c>
      <c r="V31" s="68">
        <f t="shared" si="4"/>
        <v>3530</v>
      </c>
      <c r="W31" s="69">
        <f t="shared" si="5"/>
        <v>200</v>
      </c>
      <c r="X31" s="12">
        <f t="shared" si="6"/>
        <v>2500</v>
      </c>
      <c r="Y31" s="68">
        <f t="shared" si="7"/>
        <v>5280</v>
      </c>
      <c r="Z31" s="68">
        <f t="shared" si="8"/>
        <v>0</v>
      </c>
      <c r="AA31" s="68">
        <f t="shared" si="9"/>
        <v>0</v>
      </c>
      <c r="AB31" s="68">
        <f t="shared" si="10"/>
        <v>0</v>
      </c>
      <c r="AC31" s="69">
        <f t="shared" si="11"/>
        <v>400</v>
      </c>
      <c r="AD31" s="70">
        <f t="shared" si="12"/>
        <v>0</v>
      </c>
      <c r="AE31" s="70">
        <f t="shared" si="13"/>
        <v>0</v>
      </c>
      <c r="AF31" s="12">
        <f t="shared" si="14"/>
        <v>5000</v>
      </c>
    </row>
    <row r="32" spans="1:34" s="71" customFormat="1">
      <c r="A32" s="10" t="s">
        <v>48</v>
      </c>
      <c r="B32" s="65">
        <v>875</v>
      </c>
      <c r="C32" s="11"/>
      <c r="D32" s="11"/>
      <c r="E32" s="11"/>
      <c r="F32" s="66">
        <v>100</v>
      </c>
      <c r="G32" s="13"/>
      <c r="H32" s="13"/>
      <c r="I32" s="16">
        <v>1250</v>
      </c>
      <c r="J32" s="65">
        <v>875</v>
      </c>
      <c r="K32" s="11"/>
      <c r="L32" s="11"/>
      <c r="M32" s="11"/>
      <c r="N32" s="66">
        <v>100</v>
      </c>
      <c r="O32" s="13"/>
      <c r="P32" s="13"/>
      <c r="Q32" s="16">
        <f t="shared" si="0"/>
        <v>1250</v>
      </c>
      <c r="R32" s="67" t="s">
        <v>18</v>
      </c>
      <c r="S32" s="68">
        <f t="shared" si="1"/>
        <v>1750</v>
      </c>
      <c r="T32" s="69">
        <f t="shared" si="2"/>
        <v>200</v>
      </c>
      <c r="U32" s="12">
        <f t="shared" si="3"/>
        <v>2500</v>
      </c>
      <c r="V32" s="68">
        <f t="shared" si="4"/>
        <v>3530</v>
      </c>
      <c r="W32" s="69">
        <f t="shared" si="5"/>
        <v>200</v>
      </c>
      <c r="X32" s="12">
        <f t="shared" si="6"/>
        <v>2500</v>
      </c>
      <c r="Y32" s="68">
        <f t="shared" si="7"/>
        <v>5280</v>
      </c>
      <c r="Z32" s="68">
        <f t="shared" si="8"/>
        <v>0</v>
      </c>
      <c r="AA32" s="68">
        <f t="shared" si="9"/>
        <v>0</v>
      </c>
      <c r="AB32" s="68">
        <f t="shared" si="10"/>
        <v>0</v>
      </c>
      <c r="AC32" s="69">
        <f t="shared" si="11"/>
        <v>400</v>
      </c>
      <c r="AD32" s="70">
        <f t="shared" si="12"/>
        <v>0</v>
      </c>
      <c r="AE32" s="70">
        <f t="shared" si="13"/>
        <v>0</v>
      </c>
      <c r="AF32" s="12">
        <f t="shared" si="14"/>
        <v>5000</v>
      </c>
    </row>
    <row r="33" spans="1:34" s="71" customFormat="1">
      <c r="A33" s="10" t="s">
        <v>49</v>
      </c>
      <c r="B33" s="65">
        <v>875</v>
      </c>
      <c r="C33" s="11"/>
      <c r="D33" s="11"/>
      <c r="E33" s="11"/>
      <c r="F33" s="66">
        <v>100</v>
      </c>
      <c r="G33" s="13"/>
      <c r="H33" s="13"/>
      <c r="I33" s="16">
        <v>1250</v>
      </c>
      <c r="J33" s="65">
        <v>875</v>
      </c>
      <c r="K33" s="11"/>
      <c r="L33" s="11"/>
      <c r="M33" s="11"/>
      <c r="N33" s="66">
        <v>100</v>
      </c>
      <c r="O33" s="13"/>
      <c r="P33" s="13"/>
      <c r="Q33" s="16">
        <f t="shared" si="0"/>
        <v>1250</v>
      </c>
      <c r="R33" s="67" t="s">
        <v>21</v>
      </c>
      <c r="S33" s="68">
        <f t="shared" si="1"/>
        <v>1750</v>
      </c>
      <c r="T33" s="69">
        <f t="shared" si="2"/>
        <v>200</v>
      </c>
      <c r="U33" s="12">
        <f t="shared" si="3"/>
        <v>2500</v>
      </c>
      <c r="V33" s="68">
        <f t="shared" si="4"/>
        <v>3530</v>
      </c>
      <c r="W33" s="69">
        <f t="shared" si="5"/>
        <v>200</v>
      </c>
      <c r="X33" s="12">
        <f t="shared" si="6"/>
        <v>2500</v>
      </c>
      <c r="Y33" s="68">
        <f t="shared" si="7"/>
        <v>5280</v>
      </c>
      <c r="Z33" s="68">
        <f t="shared" si="8"/>
        <v>0</v>
      </c>
      <c r="AA33" s="68">
        <f t="shared" si="9"/>
        <v>0</v>
      </c>
      <c r="AB33" s="68">
        <f t="shared" si="10"/>
        <v>0</v>
      </c>
      <c r="AC33" s="69">
        <f t="shared" si="11"/>
        <v>400</v>
      </c>
      <c r="AD33" s="70">
        <f t="shared" si="12"/>
        <v>0</v>
      </c>
      <c r="AE33" s="70">
        <f t="shared" si="13"/>
        <v>0</v>
      </c>
      <c r="AF33" s="12">
        <f t="shared" si="14"/>
        <v>5000</v>
      </c>
    </row>
    <row r="34" spans="1:34" s="71" customFormat="1">
      <c r="A34" s="15" t="s">
        <v>50</v>
      </c>
      <c r="B34" s="65">
        <v>875</v>
      </c>
      <c r="C34" s="11">
        <v>922.9</v>
      </c>
      <c r="D34" s="11"/>
      <c r="E34" s="11"/>
      <c r="F34" s="66">
        <v>100</v>
      </c>
      <c r="G34" s="13"/>
      <c r="H34" s="13"/>
      <c r="I34" s="16">
        <v>1250</v>
      </c>
      <c r="J34" s="65">
        <v>875</v>
      </c>
      <c r="K34" s="11">
        <v>922.9</v>
      </c>
      <c r="L34" s="11"/>
      <c r="M34" s="11"/>
      <c r="N34" s="66">
        <v>100</v>
      </c>
      <c r="O34" s="13"/>
      <c r="P34" s="13"/>
      <c r="Q34" s="16">
        <f t="shared" si="0"/>
        <v>1250</v>
      </c>
      <c r="R34" s="67" t="s">
        <v>18</v>
      </c>
      <c r="S34" s="68">
        <f t="shared" si="1"/>
        <v>1750</v>
      </c>
      <c r="T34" s="69">
        <f t="shared" si="2"/>
        <v>200</v>
      </c>
      <c r="U34" s="12">
        <f t="shared" si="3"/>
        <v>2500</v>
      </c>
      <c r="V34" s="68">
        <f t="shared" si="4"/>
        <v>3530</v>
      </c>
      <c r="W34" s="69">
        <f t="shared" si="5"/>
        <v>200</v>
      </c>
      <c r="X34" s="12">
        <f t="shared" si="6"/>
        <v>2500</v>
      </c>
      <c r="Y34" s="68">
        <f t="shared" si="7"/>
        <v>5280</v>
      </c>
      <c r="Z34" s="68">
        <f t="shared" si="8"/>
        <v>1845.8</v>
      </c>
      <c r="AA34" s="68">
        <f t="shared" si="9"/>
        <v>0</v>
      </c>
      <c r="AB34" s="68">
        <f t="shared" si="10"/>
        <v>0</v>
      </c>
      <c r="AC34" s="69">
        <f t="shared" si="11"/>
        <v>400</v>
      </c>
      <c r="AD34" s="70">
        <f t="shared" si="12"/>
        <v>0</v>
      </c>
      <c r="AE34" s="70">
        <f t="shared" si="13"/>
        <v>0</v>
      </c>
      <c r="AF34" s="12">
        <f t="shared" si="14"/>
        <v>5000</v>
      </c>
    </row>
    <row r="35" spans="1:34" s="71" customFormat="1">
      <c r="A35" s="10" t="s">
        <v>51</v>
      </c>
      <c r="B35" s="65">
        <v>875</v>
      </c>
      <c r="C35" s="11"/>
      <c r="D35" s="11"/>
      <c r="E35" s="11"/>
      <c r="F35" s="66">
        <v>100</v>
      </c>
      <c r="G35" s="13"/>
      <c r="H35" s="13"/>
      <c r="I35" s="16">
        <v>1250</v>
      </c>
      <c r="J35" s="65">
        <v>875</v>
      </c>
      <c r="K35" s="11"/>
      <c r="L35" s="11"/>
      <c r="M35" s="11"/>
      <c r="N35" s="66">
        <v>100</v>
      </c>
      <c r="O35" s="13"/>
      <c r="P35" s="13"/>
      <c r="Q35" s="16">
        <f t="shared" si="0"/>
        <v>1250</v>
      </c>
      <c r="R35" s="67" t="s">
        <v>21</v>
      </c>
      <c r="S35" s="68">
        <f t="shared" si="1"/>
        <v>1750</v>
      </c>
      <c r="T35" s="69">
        <f t="shared" si="2"/>
        <v>200</v>
      </c>
      <c r="U35" s="12">
        <f t="shared" si="3"/>
        <v>2500</v>
      </c>
      <c r="V35" s="68">
        <f t="shared" si="4"/>
        <v>3530</v>
      </c>
      <c r="W35" s="69">
        <f t="shared" si="5"/>
        <v>200</v>
      </c>
      <c r="X35" s="12">
        <f t="shared" si="6"/>
        <v>2500</v>
      </c>
      <c r="Y35" s="68">
        <f t="shared" si="7"/>
        <v>5280</v>
      </c>
      <c r="Z35" s="68">
        <f t="shared" si="8"/>
        <v>0</v>
      </c>
      <c r="AA35" s="68">
        <f t="shared" si="9"/>
        <v>0</v>
      </c>
      <c r="AB35" s="68">
        <f t="shared" si="10"/>
        <v>0</v>
      </c>
      <c r="AC35" s="69">
        <f t="shared" si="11"/>
        <v>400</v>
      </c>
      <c r="AD35" s="70">
        <f t="shared" si="12"/>
        <v>0</v>
      </c>
      <c r="AE35" s="70">
        <f t="shared" si="13"/>
        <v>0</v>
      </c>
      <c r="AF35" s="12">
        <f t="shared" si="14"/>
        <v>5000</v>
      </c>
    </row>
    <row r="36" spans="1:34" s="21" customFormat="1">
      <c r="A36" s="10" t="s">
        <v>52</v>
      </c>
      <c r="B36" s="65">
        <v>875</v>
      </c>
      <c r="C36" s="11">
        <v>904.54499999999996</v>
      </c>
      <c r="D36" s="11"/>
      <c r="E36" s="11"/>
      <c r="F36" s="66">
        <v>100</v>
      </c>
      <c r="G36" s="13">
        <v>261.5</v>
      </c>
      <c r="H36" s="13"/>
      <c r="I36" s="16">
        <v>562.5</v>
      </c>
      <c r="J36" s="65">
        <v>875</v>
      </c>
      <c r="K36" s="11">
        <v>904.54499999999996</v>
      </c>
      <c r="L36" s="11"/>
      <c r="M36" s="11"/>
      <c r="N36" s="66">
        <v>100</v>
      </c>
      <c r="O36" s="13">
        <v>261.5</v>
      </c>
      <c r="P36" s="13"/>
      <c r="Q36" s="16">
        <f t="shared" si="0"/>
        <v>562.5</v>
      </c>
      <c r="R36" s="67" t="s">
        <v>18</v>
      </c>
      <c r="S36" s="68">
        <f t="shared" si="1"/>
        <v>1750</v>
      </c>
      <c r="T36" s="69">
        <f t="shared" si="2"/>
        <v>200</v>
      </c>
      <c r="U36" s="12">
        <f t="shared" si="3"/>
        <v>1125</v>
      </c>
      <c r="V36" s="68">
        <f t="shared" si="4"/>
        <v>3530</v>
      </c>
      <c r="W36" s="69">
        <f t="shared" si="5"/>
        <v>200</v>
      </c>
      <c r="X36" s="12">
        <f t="shared" si="6"/>
        <v>1125</v>
      </c>
      <c r="Y36" s="68">
        <f t="shared" si="7"/>
        <v>5280</v>
      </c>
      <c r="Z36" s="68">
        <f t="shared" si="8"/>
        <v>1809.09</v>
      </c>
      <c r="AA36" s="68">
        <f t="shared" si="9"/>
        <v>0</v>
      </c>
      <c r="AB36" s="68">
        <f t="shared" si="10"/>
        <v>0</v>
      </c>
      <c r="AC36" s="69">
        <f t="shared" si="11"/>
        <v>400</v>
      </c>
      <c r="AD36" s="70">
        <f t="shared" si="12"/>
        <v>523</v>
      </c>
      <c r="AE36" s="70">
        <f t="shared" si="13"/>
        <v>0</v>
      </c>
      <c r="AF36" s="12">
        <f t="shared" si="14"/>
        <v>2250</v>
      </c>
      <c r="AG36" s="71"/>
      <c r="AH36" s="71"/>
    </row>
    <row r="37" spans="1:34" s="71" customFormat="1">
      <c r="A37" s="10" t="s">
        <v>53</v>
      </c>
      <c r="B37" s="65">
        <v>875</v>
      </c>
      <c r="C37" s="11">
        <v>922.9</v>
      </c>
      <c r="D37" s="11"/>
      <c r="E37" s="11"/>
      <c r="F37" s="66">
        <v>100</v>
      </c>
      <c r="G37" s="13"/>
      <c r="H37" s="13"/>
      <c r="I37" s="16">
        <v>1250</v>
      </c>
      <c r="J37" s="65">
        <v>875</v>
      </c>
      <c r="K37" s="11">
        <v>922.9</v>
      </c>
      <c r="L37" s="11"/>
      <c r="M37" s="11"/>
      <c r="N37" s="66">
        <v>100</v>
      </c>
      <c r="O37" s="13"/>
      <c r="P37" s="13"/>
      <c r="Q37" s="16">
        <f t="shared" si="0"/>
        <v>1250</v>
      </c>
      <c r="R37" s="67" t="s">
        <v>18</v>
      </c>
      <c r="S37" s="68">
        <f t="shared" si="1"/>
        <v>1750</v>
      </c>
      <c r="T37" s="69">
        <f t="shared" si="2"/>
        <v>200</v>
      </c>
      <c r="U37" s="12">
        <f t="shared" si="3"/>
        <v>2500</v>
      </c>
      <c r="V37" s="68">
        <f t="shared" si="4"/>
        <v>3530</v>
      </c>
      <c r="W37" s="69">
        <f t="shared" si="5"/>
        <v>200</v>
      </c>
      <c r="X37" s="12">
        <f t="shared" si="6"/>
        <v>2500</v>
      </c>
      <c r="Y37" s="68">
        <f t="shared" si="7"/>
        <v>5280</v>
      </c>
      <c r="Z37" s="68">
        <f t="shared" si="8"/>
        <v>1845.8</v>
      </c>
      <c r="AA37" s="68">
        <f t="shared" si="9"/>
        <v>0</v>
      </c>
      <c r="AB37" s="68">
        <f t="shared" si="10"/>
        <v>0</v>
      </c>
      <c r="AC37" s="69">
        <f t="shared" si="11"/>
        <v>400</v>
      </c>
      <c r="AD37" s="70">
        <f t="shared" si="12"/>
        <v>0</v>
      </c>
      <c r="AE37" s="70">
        <f t="shared" si="13"/>
        <v>0</v>
      </c>
      <c r="AF37" s="12">
        <f t="shared" si="14"/>
        <v>5000</v>
      </c>
    </row>
    <row r="38" spans="1:34" s="71" customFormat="1">
      <c r="A38" s="10" t="s">
        <v>54</v>
      </c>
      <c r="B38" s="65">
        <v>875</v>
      </c>
      <c r="C38" s="11"/>
      <c r="D38" s="11"/>
      <c r="E38" s="11"/>
      <c r="F38" s="66">
        <v>100</v>
      </c>
      <c r="G38" s="13"/>
      <c r="H38" s="13"/>
      <c r="I38" s="16">
        <v>625</v>
      </c>
      <c r="J38" s="65">
        <v>875</v>
      </c>
      <c r="K38" s="11"/>
      <c r="L38" s="11"/>
      <c r="M38" s="11"/>
      <c r="N38" s="73">
        <v>100</v>
      </c>
      <c r="O38" s="13"/>
      <c r="P38" s="13"/>
      <c r="Q38" s="16">
        <f t="shared" si="0"/>
        <v>625</v>
      </c>
      <c r="R38" s="67">
        <v>325</v>
      </c>
      <c r="S38" s="68">
        <f t="shared" si="1"/>
        <v>1750</v>
      </c>
      <c r="T38" s="69">
        <f t="shared" si="2"/>
        <v>200</v>
      </c>
      <c r="U38" s="12">
        <f t="shared" si="3"/>
        <v>1250</v>
      </c>
      <c r="V38" s="68">
        <f t="shared" si="4"/>
        <v>3530</v>
      </c>
      <c r="W38" s="69">
        <f t="shared" si="5"/>
        <v>200</v>
      </c>
      <c r="X38" s="12">
        <f t="shared" si="6"/>
        <v>1250</v>
      </c>
      <c r="Y38" s="68">
        <f t="shared" si="7"/>
        <v>5280</v>
      </c>
      <c r="Z38" s="68">
        <f t="shared" si="8"/>
        <v>0</v>
      </c>
      <c r="AA38" s="68">
        <f t="shared" si="9"/>
        <v>0</v>
      </c>
      <c r="AB38" s="68">
        <f t="shared" si="10"/>
        <v>0</v>
      </c>
      <c r="AC38" s="69">
        <f t="shared" si="11"/>
        <v>400</v>
      </c>
      <c r="AD38" s="70">
        <f t="shared" si="12"/>
        <v>0</v>
      </c>
      <c r="AE38" s="70">
        <f t="shared" si="13"/>
        <v>0</v>
      </c>
      <c r="AF38" s="12">
        <f t="shared" si="14"/>
        <v>2500</v>
      </c>
    </row>
    <row r="39" spans="1:34" s="71" customFormat="1">
      <c r="A39" s="10" t="s">
        <v>55</v>
      </c>
      <c r="B39" s="65">
        <v>875</v>
      </c>
      <c r="C39" s="11"/>
      <c r="D39" s="11"/>
      <c r="E39" s="11"/>
      <c r="F39" s="66">
        <v>100</v>
      </c>
      <c r="G39" s="13"/>
      <c r="H39" s="13"/>
      <c r="I39" s="16">
        <v>1212.5</v>
      </c>
      <c r="J39" s="65">
        <v>875</v>
      </c>
      <c r="K39" s="11"/>
      <c r="L39" s="11"/>
      <c r="M39" s="11"/>
      <c r="N39" s="66">
        <v>100</v>
      </c>
      <c r="O39" s="13"/>
      <c r="P39" s="13"/>
      <c r="Q39" s="16">
        <f t="shared" si="0"/>
        <v>1212.5</v>
      </c>
      <c r="R39" s="67" t="s">
        <v>21</v>
      </c>
      <c r="S39" s="68">
        <f t="shared" si="1"/>
        <v>1750</v>
      </c>
      <c r="T39" s="69">
        <f t="shared" si="2"/>
        <v>200</v>
      </c>
      <c r="U39" s="12">
        <f t="shared" si="3"/>
        <v>2425</v>
      </c>
      <c r="V39" s="68">
        <f t="shared" si="4"/>
        <v>3530</v>
      </c>
      <c r="W39" s="69">
        <f t="shared" si="5"/>
        <v>200</v>
      </c>
      <c r="X39" s="12">
        <f t="shared" si="6"/>
        <v>2425</v>
      </c>
      <c r="Y39" s="68">
        <f t="shared" si="7"/>
        <v>5280</v>
      </c>
      <c r="Z39" s="68">
        <f t="shared" si="8"/>
        <v>0</v>
      </c>
      <c r="AA39" s="68">
        <f t="shared" si="9"/>
        <v>0</v>
      </c>
      <c r="AB39" s="68">
        <f t="shared" si="10"/>
        <v>0</v>
      </c>
      <c r="AC39" s="69">
        <f t="shared" si="11"/>
        <v>400</v>
      </c>
      <c r="AD39" s="70">
        <f t="shared" si="12"/>
        <v>0</v>
      </c>
      <c r="AE39" s="70">
        <f t="shared" si="13"/>
        <v>0</v>
      </c>
      <c r="AF39" s="12">
        <f t="shared" si="14"/>
        <v>4850</v>
      </c>
    </row>
    <row r="40" spans="1:34" s="71" customFormat="1">
      <c r="A40" s="10" t="s">
        <v>56</v>
      </c>
      <c r="B40" s="65">
        <v>875</v>
      </c>
      <c r="C40" s="11"/>
      <c r="D40" s="11"/>
      <c r="E40" s="11"/>
      <c r="F40" s="66">
        <v>100</v>
      </c>
      <c r="G40" s="13"/>
      <c r="H40" s="13"/>
      <c r="I40" s="16">
        <v>1250</v>
      </c>
      <c r="J40" s="65">
        <v>875</v>
      </c>
      <c r="K40" s="11"/>
      <c r="L40" s="11"/>
      <c r="M40" s="11"/>
      <c r="N40" s="73">
        <v>100</v>
      </c>
      <c r="O40" s="13"/>
      <c r="P40" s="13"/>
      <c r="Q40" s="16">
        <f t="shared" si="0"/>
        <v>1250</v>
      </c>
      <c r="R40" s="75" t="s">
        <v>21</v>
      </c>
      <c r="S40" s="68">
        <f t="shared" si="1"/>
        <v>1750</v>
      </c>
      <c r="T40" s="69">
        <f t="shared" si="2"/>
        <v>200</v>
      </c>
      <c r="U40" s="12">
        <f t="shared" si="3"/>
        <v>2500</v>
      </c>
      <c r="V40" s="68">
        <f t="shared" si="4"/>
        <v>3530</v>
      </c>
      <c r="W40" s="69">
        <f t="shared" si="5"/>
        <v>200</v>
      </c>
      <c r="X40" s="12">
        <f t="shared" si="6"/>
        <v>2500</v>
      </c>
      <c r="Y40" s="68">
        <f t="shared" si="7"/>
        <v>5280</v>
      </c>
      <c r="Z40" s="68">
        <f t="shared" si="8"/>
        <v>0</v>
      </c>
      <c r="AA40" s="68">
        <f t="shared" si="9"/>
        <v>0</v>
      </c>
      <c r="AB40" s="68">
        <f t="shared" si="10"/>
        <v>0</v>
      </c>
      <c r="AC40" s="69">
        <f t="shared" si="11"/>
        <v>400</v>
      </c>
      <c r="AD40" s="70">
        <f t="shared" si="12"/>
        <v>0</v>
      </c>
      <c r="AE40" s="70">
        <f t="shared" si="13"/>
        <v>0</v>
      </c>
      <c r="AF40" s="12">
        <f t="shared" si="14"/>
        <v>5000</v>
      </c>
    </row>
    <row r="41" spans="1:34" s="71" customFormat="1">
      <c r="A41" s="10" t="s">
        <v>57</v>
      </c>
      <c r="B41" s="65">
        <v>875</v>
      </c>
      <c r="C41" s="11"/>
      <c r="D41" s="11"/>
      <c r="E41" s="11"/>
      <c r="F41" s="66">
        <v>100</v>
      </c>
      <c r="G41" s="13"/>
      <c r="H41" s="13"/>
      <c r="I41" s="16">
        <v>1250</v>
      </c>
      <c r="J41" s="65">
        <v>875</v>
      </c>
      <c r="K41" s="11"/>
      <c r="L41" s="11"/>
      <c r="M41" s="11"/>
      <c r="N41" s="66">
        <v>100</v>
      </c>
      <c r="O41" s="13"/>
      <c r="P41" s="13"/>
      <c r="Q41" s="16">
        <f t="shared" si="0"/>
        <v>1250</v>
      </c>
      <c r="R41" s="67" t="s">
        <v>18</v>
      </c>
      <c r="S41" s="68">
        <f t="shared" si="1"/>
        <v>1750</v>
      </c>
      <c r="T41" s="69">
        <f t="shared" si="2"/>
        <v>200</v>
      </c>
      <c r="U41" s="12">
        <f t="shared" si="3"/>
        <v>2500</v>
      </c>
      <c r="V41" s="68">
        <f t="shared" si="4"/>
        <v>3530</v>
      </c>
      <c r="W41" s="69">
        <f t="shared" si="5"/>
        <v>200</v>
      </c>
      <c r="X41" s="12">
        <f t="shared" si="6"/>
        <v>2500</v>
      </c>
      <c r="Y41" s="68">
        <f t="shared" si="7"/>
        <v>5280</v>
      </c>
      <c r="Z41" s="68">
        <f t="shared" si="8"/>
        <v>0</v>
      </c>
      <c r="AA41" s="68">
        <f t="shared" si="9"/>
        <v>0</v>
      </c>
      <c r="AB41" s="68">
        <f t="shared" si="10"/>
        <v>0</v>
      </c>
      <c r="AC41" s="69">
        <f t="shared" si="11"/>
        <v>400</v>
      </c>
      <c r="AD41" s="70">
        <f t="shared" si="12"/>
        <v>0</v>
      </c>
      <c r="AE41" s="70">
        <f t="shared" si="13"/>
        <v>0</v>
      </c>
      <c r="AF41" s="12">
        <f t="shared" si="14"/>
        <v>5000</v>
      </c>
    </row>
    <row r="42" spans="1:34" s="71" customFormat="1">
      <c r="A42" s="10" t="s">
        <v>58</v>
      </c>
      <c r="B42" s="65">
        <v>875</v>
      </c>
      <c r="C42" s="11"/>
      <c r="D42" s="11"/>
      <c r="E42" s="11"/>
      <c r="F42" s="66">
        <v>100</v>
      </c>
      <c r="G42" s="13"/>
      <c r="H42" s="13"/>
      <c r="I42" s="16">
        <v>1000</v>
      </c>
      <c r="J42" s="65">
        <v>875</v>
      </c>
      <c r="K42" s="11"/>
      <c r="L42" s="11"/>
      <c r="M42" s="11"/>
      <c r="N42" s="73">
        <v>100</v>
      </c>
      <c r="O42" s="13"/>
      <c r="P42" s="13"/>
      <c r="Q42" s="16">
        <f t="shared" si="0"/>
        <v>1000</v>
      </c>
      <c r="R42" s="67" t="s">
        <v>18</v>
      </c>
      <c r="S42" s="68">
        <f t="shared" si="1"/>
        <v>1750</v>
      </c>
      <c r="T42" s="69">
        <f t="shared" si="2"/>
        <v>200</v>
      </c>
      <c r="U42" s="12">
        <f t="shared" si="3"/>
        <v>2000</v>
      </c>
      <c r="V42" s="68">
        <f t="shared" si="4"/>
        <v>3530</v>
      </c>
      <c r="W42" s="69">
        <f t="shared" si="5"/>
        <v>200</v>
      </c>
      <c r="X42" s="12">
        <f t="shared" si="6"/>
        <v>2000</v>
      </c>
      <c r="Y42" s="68">
        <f t="shared" si="7"/>
        <v>5280</v>
      </c>
      <c r="Z42" s="68">
        <f t="shared" si="8"/>
        <v>0</v>
      </c>
      <c r="AA42" s="68">
        <f t="shared" si="9"/>
        <v>0</v>
      </c>
      <c r="AB42" s="68">
        <f t="shared" si="10"/>
        <v>0</v>
      </c>
      <c r="AC42" s="69">
        <f t="shared" si="11"/>
        <v>400</v>
      </c>
      <c r="AD42" s="70">
        <f t="shared" si="12"/>
        <v>0</v>
      </c>
      <c r="AE42" s="70">
        <f t="shared" si="13"/>
        <v>0</v>
      </c>
      <c r="AF42" s="12">
        <f t="shared" si="14"/>
        <v>4000</v>
      </c>
    </row>
    <row r="43" spans="1:34" s="71" customFormat="1">
      <c r="A43" s="30" t="s">
        <v>59</v>
      </c>
      <c r="B43" s="65">
        <v>875</v>
      </c>
      <c r="C43" s="11"/>
      <c r="D43" s="11"/>
      <c r="E43" s="11"/>
      <c r="F43" s="66">
        <v>100</v>
      </c>
      <c r="G43" s="13"/>
      <c r="H43" s="13"/>
      <c r="I43" s="16">
        <v>1250</v>
      </c>
      <c r="J43" s="65">
        <v>875</v>
      </c>
      <c r="K43" s="11"/>
      <c r="L43" s="11"/>
      <c r="M43" s="11"/>
      <c r="N43" s="66">
        <v>100</v>
      </c>
      <c r="O43" s="13"/>
      <c r="P43" s="13"/>
      <c r="Q43" s="16">
        <f t="shared" si="0"/>
        <v>1250</v>
      </c>
      <c r="R43" s="67">
        <v>325</v>
      </c>
      <c r="S43" s="68">
        <f t="shared" si="1"/>
        <v>1750</v>
      </c>
      <c r="T43" s="69">
        <f t="shared" si="2"/>
        <v>200</v>
      </c>
      <c r="U43" s="12">
        <f t="shared" si="3"/>
        <v>2500</v>
      </c>
      <c r="V43" s="68">
        <f t="shared" si="4"/>
        <v>3530</v>
      </c>
      <c r="W43" s="69">
        <f t="shared" si="5"/>
        <v>200</v>
      </c>
      <c r="X43" s="12">
        <f t="shared" si="6"/>
        <v>2500</v>
      </c>
      <c r="Y43" s="68">
        <f t="shared" si="7"/>
        <v>5280</v>
      </c>
      <c r="Z43" s="68">
        <f t="shared" si="8"/>
        <v>0</v>
      </c>
      <c r="AA43" s="68">
        <f t="shared" si="9"/>
        <v>0</v>
      </c>
      <c r="AB43" s="68">
        <f t="shared" si="10"/>
        <v>0</v>
      </c>
      <c r="AC43" s="69">
        <f t="shared" si="11"/>
        <v>400</v>
      </c>
      <c r="AD43" s="70">
        <f t="shared" si="12"/>
        <v>0</v>
      </c>
      <c r="AE43" s="70">
        <f t="shared" si="13"/>
        <v>0</v>
      </c>
      <c r="AF43" s="12">
        <f t="shared" si="14"/>
        <v>5000</v>
      </c>
    </row>
    <row r="44" spans="1:34" s="71" customFormat="1">
      <c r="A44" s="30" t="s">
        <v>60</v>
      </c>
      <c r="B44" s="65">
        <v>625</v>
      </c>
      <c r="C44" s="11"/>
      <c r="D44" s="11"/>
      <c r="E44" s="11"/>
      <c r="F44" s="66">
        <v>100</v>
      </c>
      <c r="G44" s="13"/>
      <c r="H44" s="13"/>
      <c r="I44" s="16">
        <v>312.5</v>
      </c>
      <c r="J44" s="65">
        <v>625</v>
      </c>
      <c r="K44" s="11"/>
      <c r="L44" s="11"/>
      <c r="M44" s="11"/>
      <c r="N44" s="66">
        <v>100</v>
      </c>
      <c r="O44" s="13"/>
      <c r="P44" s="13"/>
      <c r="Q44" s="16">
        <f t="shared" si="0"/>
        <v>312.5</v>
      </c>
      <c r="R44" s="67" t="s">
        <v>18</v>
      </c>
      <c r="S44" s="68">
        <f t="shared" si="1"/>
        <v>1250</v>
      </c>
      <c r="T44" s="69">
        <f t="shared" si="2"/>
        <v>200</v>
      </c>
      <c r="U44" s="12">
        <f t="shared" si="3"/>
        <v>625</v>
      </c>
      <c r="V44" s="68">
        <f>2650+30</f>
        <v>2680</v>
      </c>
      <c r="W44" s="69">
        <f t="shared" si="5"/>
        <v>200</v>
      </c>
      <c r="X44" s="12">
        <f t="shared" si="6"/>
        <v>625</v>
      </c>
      <c r="Y44" s="68">
        <f t="shared" si="7"/>
        <v>3930</v>
      </c>
      <c r="Z44" s="68">
        <f t="shared" si="8"/>
        <v>0</v>
      </c>
      <c r="AA44" s="68">
        <f t="shared" si="9"/>
        <v>0</v>
      </c>
      <c r="AB44" s="68">
        <f t="shared" si="10"/>
        <v>0</v>
      </c>
      <c r="AC44" s="69">
        <f t="shared" si="11"/>
        <v>400</v>
      </c>
      <c r="AD44" s="70">
        <f t="shared" si="12"/>
        <v>0</v>
      </c>
      <c r="AE44" s="70">
        <f t="shared" si="13"/>
        <v>0</v>
      </c>
      <c r="AF44" s="12">
        <f t="shared" si="14"/>
        <v>1250</v>
      </c>
    </row>
    <row r="45" spans="1:34" s="20" customFormat="1">
      <c r="A45" s="17"/>
      <c r="B45" s="18">
        <f>SUM(B3:B44)</f>
        <v>36500</v>
      </c>
      <c r="C45" s="18">
        <f t="shared" ref="C45:AF45" si="15">SUM(C3:C44)</f>
        <v>8269.3949999999986</v>
      </c>
      <c r="D45" s="18">
        <f t="shared" si="15"/>
        <v>447.73</v>
      </c>
      <c r="E45" s="18">
        <f t="shared" si="15"/>
        <v>0</v>
      </c>
      <c r="F45" s="18">
        <f t="shared" si="15"/>
        <v>4300</v>
      </c>
      <c r="G45" s="18">
        <f t="shared" si="15"/>
        <v>1378.6399999999999</v>
      </c>
      <c r="H45" s="18">
        <f t="shared" si="15"/>
        <v>108.14</v>
      </c>
      <c r="I45" s="18">
        <f t="shared" si="15"/>
        <v>45966.25</v>
      </c>
      <c r="J45" s="18">
        <f t="shared" si="15"/>
        <v>36500</v>
      </c>
      <c r="K45" s="18">
        <f t="shared" si="15"/>
        <v>10096.839999999998</v>
      </c>
      <c r="L45" s="18">
        <f t="shared" si="15"/>
        <v>447.73</v>
      </c>
      <c r="M45" s="18">
        <f t="shared" si="15"/>
        <v>0</v>
      </c>
      <c r="N45" s="18">
        <f t="shared" si="15"/>
        <v>4300</v>
      </c>
      <c r="O45" s="18">
        <f t="shared" si="15"/>
        <v>1378.6399999999999</v>
      </c>
      <c r="P45" s="18">
        <f t="shared" si="15"/>
        <v>108.14</v>
      </c>
      <c r="Q45" s="18">
        <f t="shared" si="15"/>
        <v>45966.25</v>
      </c>
      <c r="R45" s="18">
        <f t="shared" si="15"/>
        <v>975</v>
      </c>
      <c r="S45" s="18">
        <f t="shared" si="15"/>
        <v>73000</v>
      </c>
      <c r="T45" s="18">
        <f t="shared" si="15"/>
        <v>8600</v>
      </c>
      <c r="U45" s="18">
        <f t="shared" si="15"/>
        <v>91932.5</v>
      </c>
      <c r="V45" s="18">
        <f t="shared" si="15"/>
        <v>147410</v>
      </c>
      <c r="W45" s="18">
        <f t="shared" si="15"/>
        <v>8600</v>
      </c>
      <c r="X45" s="18">
        <f t="shared" si="15"/>
        <v>91932.5</v>
      </c>
      <c r="Y45" s="18">
        <f t="shared" si="15"/>
        <v>220410</v>
      </c>
      <c r="Z45" s="18">
        <f t="shared" si="15"/>
        <v>18366.234999999997</v>
      </c>
      <c r="AA45" s="18">
        <f t="shared" si="15"/>
        <v>895.46</v>
      </c>
      <c r="AB45" s="18">
        <f t="shared" si="15"/>
        <v>0</v>
      </c>
      <c r="AC45" s="18">
        <f t="shared" si="15"/>
        <v>17200</v>
      </c>
      <c r="AD45" s="18">
        <f t="shared" si="15"/>
        <v>2757.2799999999997</v>
      </c>
      <c r="AE45" s="18">
        <f t="shared" si="15"/>
        <v>216.28</v>
      </c>
      <c r="AF45" s="18">
        <f t="shared" si="15"/>
        <v>183865</v>
      </c>
      <c r="AG45" s="18"/>
    </row>
    <row r="46" spans="1:34" s="20" customFormat="1" ht="14.45" thickBot="1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spans="1:34" s="23" customFormat="1" ht="15" customHeight="1" thickBot="1">
      <c r="A47" s="28" t="s">
        <v>61</v>
      </c>
      <c r="B47" s="76" t="s">
        <v>7</v>
      </c>
      <c r="C47" s="77"/>
      <c r="D47" s="77"/>
      <c r="E47" s="77"/>
      <c r="F47" s="78"/>
      <c r="G47" s="79" t="s">
        <v>11</v>
      </c>
      <c r="H47" s="80"/>
      <c r="I47" s="80"/>
      <c r="J47" s="81"/>
      <c r="K47" s="64" t="s">
        <v>62</v>
      </c>
      <c r="L47" s="22"/>
      <c r="M47" s="22"/>
      <c r="N47" s="22"/>
      <c r="O47" s="22"/>
      <c r="P47" s="22"/>
      <c r="Q47" s="22"/>
      <c r="R47" s="22"/>
      <c r="S47" s="19"/>
      <c r="T47" s="22"/>
      <c r="U47" s="2"/>
      <c r="V47" s="21"/>
      <c r="W47" s="22"/>
      <c r="X47" s="2"/>
      <c r="Y47" s="2"/>
      <c r="Z47" s="2"/>
      <c r="AA47" s="2"/>
      <c r="AB47" s="2"/>
      <c r="AC47" s="2"/>
      <c r="AD47" s="2"/>
      <c r="AE47" s="2"/>
      <c r="AG47" s="2"/>
    </row>
    <row r="48" spans="1:34" s="23" customFormat="1">
      <c r="A48" s="51" t="s">
        <v>63</v>
      </c>
      <c r="B48" s="60" t="s">
        <v>64</v>
      </c>
      <c r="C48" s="61" t="s">
        <v>65</v>
      </c>
      <c r="D48" s="61" t="s">
        <v>66</v>
      </c>
      <c r="E48" s="61" t="s">
        <v>67</v>
      </c>
      <c r="F48" s="62" t="s">
        <v>68</v>
      </c>
      <c r="G48" s="60" t="s">
        <v>64</v>
      </c>
      <c r="H48" s="61" t="s">
        <v>65</v>
      </c>
      <c r="I48" s="61" t="s">
        <v>66</v>
      </c>
      <c r="J48" s="62" t="s">
        <v>69</v>
      </c>
      <c r="K48" s="63" t="s">
        <v>64</v>
      </c>
      <c r="L48" s="22"/>
      <c r="M48" s="22"/>
      <c r="N48" s="22"/>
      <c r="O48" s="2"/>
      <c r="P48" s="2"/>
      <c r="Q48" s="2"/>
      <c r="R48" s="2"/>
      <c r="S48" s="2"/>
      <c r="T48" s="19"/>
      <c r="U48" s="22"/>
      <c r="V48" s="2"/>
      <c r="W48" s="21"/>
      <c r="X48" s="22"/>
      <c r="Y48" s="2"/>
      <c r="Z48" s="2"/>
      <c r="AA48" s="2"/>
      <c r="AB48" s="2"/>
      <c r="AC48" s="24"/>
      <c r="AD48" s="2"/>
      <c r="AE48" s="2"/>
      <c r="AF48" s="2"/>
      <c r="AH48" s="2"/>
    </row>
    <row r="49" spans="1:34" s="23" customFormat="1" ht="14.45">
      <c r="A49" s="51" t="s">
        <v>18</v>
      </c>
      <c r="B49" s="53">
        <f ca="1" xml:space="preserve"> SUMIF(R3:R44,"core",Y3:Y43)</f>
        <v>93690</v>
      </c>
      <c r="C49" s="25">
        <f xml:space="preserve"> SUMIF(R3:R43,"core",Z3:Z43)</f>
        <v>11905.934999999999</v>
      </c>
      <c r="D49" s="25">
        <f xml:space="preserve"> SUMIF(R3:R43,"core",AA3:AA43)</f>
        <v>895.46</v>
      </c>
      <c r="E49" s="25"/>
      <c r="F49" s="54">
        <f ca="1">B49+C49+D49</f>
        <v>106491.395</v>
      </c>
      <c r="G49" s="53">
        <f ca="1" xml:space="preserve"> SUMIF(R3:R44,"core",AC3:AC43)</f>
        <v>7600</v>
      </c>
      <c r="H49" s="25">
        <f>SUMIF(R3:R43,"core",AD3:AD43)</f>
        <v>1238.46</v>
      </c>
      <c r="I49" s="25">
        <f>SUMIF(R3:R43,"core",AE3:AE43)</f>
        <v>216.28</v>
      </c>
      <c r="J49" s="54">
        <f ca="1">G49+H49+I49</f>
        <v>9054.74</v>
      </c>
      <c r="K49" s="58">
        <f ca="1">SUMIF(R3:R44,"core",AF3:AF43)</f>
        <v>67765</v>
      </c>
      <c r="L49" s="22"/>
      <c r="M49" s="22"/>
      <c r="N49" s="22"/>
      <c r="O49" s="29"/>
      <c r="P49" s="29"/>
      <c r="Q49" s="2"/>
      <c r="R49" s="2"/>
      <c r="S49" s="2"/>
      <c r="T49" s="9"/>
      <c r="U49" s="26"/>
      <c r="V49" s="2"/>
      <c r="W49" s="21"/>
      <c r="X49" s="22"/>
      <c r="Y49" s="2"/>
      <c r="Z49" s="2"/>
      <c r="AA49" s="2"/>
      <c r="AB49" s="2"/>
      <c r="AC49" s="2"/>
      <c r="AD49" s="2"/>
      <c r="AE49" s="2"/>
      <c r="AF49" s="2"/>
      <c r="AH49" s="2"/>
    </row>
    <row r="50" spans="1:34" s="23" customFormat="1">
      <c r="A50" s="51" t="s">
        <v>21</v>
      </c>
      <c r="B50" s="53">
        <f ca="1" xml:space="preserve"> SUMIF(R3:R44,"APSI",Y3:Y43)</f>
        <v>95040</v>
      </c>
      <c r="C50" s="25">
        <f xml:space="preserve"> SUMIF(R3:R43,"APSI",Z3:Z43)</f>
        <v>6460.3</v>
      </c>
      <c r="D50" s="25">
        <f xml:space="preserve"> SUMIF(R3:R43,"APSI",AA3:AA43)</f>
        <v>0</v>
      </c>
      <c r="E50" s="25"/>
      <c r="F50" s="54">
        <f t="shared" ref="F50:F54" ca="1" si="16">B50+C50+D50</f>
        <v>101500.3</v>
      </c>
      <c r="G50" s="53">
        <f ca="1" xml:space="preserve"> SUMIF(R3:R44,"APSI",AC3:AC43)</f>
        <v>7200</v>
      </c>
      <c r="H50" s="25">
        <f>SUMIF(R3:R43,"APSI",AD3:AD43)</f>
        <v>1518.82</v>
      </c>
      <c r="I50" s="25">
        <f>SUMIF(R3:R43,"APSI",AE3:AE43)</f>
        <v>0</v>
      </c>
      <c r="J50" s="54">
        <f t="shared" ref="J50:J54" ca="1" si="17">G50+H50+I50</f>
        <v>8718.82</v>
      </c>
      <c r="K50" s="58">
        <f ca="1" xml:space="preserve"> SUMIF(R3:R44,"APSI",AF3:AF43)</f>
        <v>89850</v>
      </c>
      <c r="L50" s="22"/>
      <c r="M50" s="22"/>
      <c r="N50" s="22"/>
      <c r="O50" s="2"/>
      <c r="P50" s="2"/>
      <c r="Q50" s="2"/>
      <c r="R50" s="2"/>
      <c r="S50" s="2"/>
      <c r="T50" s="9"/>
      <c r="U50" s="2"/>
      <c r="V50" s="2"/>
      <c r="X50" s="22"/>
      <c r="Y50" s="2"/>
      <c r="Z50" s="2"/>
      <c r="AA50" s="2"/>
      <c r="AB50" s="2"/>
      <c r="AC50" s="2"/>
      <c r="AD50" s="2"/>
      <c r="AE50" s="2"/>
      <c r="AF50" s="2"/>
      <c r="AH50" s="2"/>
    </row>
    <row r="51" spans="1:34" s="23" customFormat="1">
      <c r="A51" s="52">
        <v>325</v>
      </c>
      <c r="B51" s="53">
        <f ca="1" xml:space="preserve"> SUMIF(R3:R44,"325",Y3:Y43)</f>
        <v>15840</v>
      </c>
      <c r="C51" s="25">
        <f xml:space="preserve"> SUMIF(R3:R43,"325",Z3:Z43)</f>
        <v>0</v>
      </c>
      <c r="D51" s="25">
        <f xml:space="preserve"> SUMIF(R3:R43,"325",AA3:AA43)</f>
        <v>0</v>
      </c>
      <c r="E51" s="25"/>
      <c r="F51" s="54">
        <f t="shared" ca="1" si="16"/>
        <v>15840</v>
      </c>
      <c r="G51" s="53">
        <f ca="1" xml:space="preserve"> SUMIF(R3:R44,"325",AC3:AC43)</f>
        <v>1200</v>
      </c>
      <c r="H51" s="25">
        <f xml:space="preserve"> SUMIF(R3:R43,"325",AD3:AD43)</f>
        <v>0</v>
      </c>
      <c r="I51" s="25">
        <f xml:space="preserve"> SUMIF(R3:R43,"325",AE3:AE43)</f>
        <v>0</v>
      </c>
      <c r="J51" s="54">
        <f t="shared" ca="1" si="17"/>
        <v>1200</v>
      </c>
      <c r="K51" s="58">
        <f ca="1" xml:space="preserve"> SUMIF(R3:R44,"325",AF3:AF43)</f>
        <v>11500</v>
      </c>
      <c r="L51" s="22"/>
      <c r="M51" s="22"/>
      <c r="N51" s="22"/>
      <c r="O51" s="2"/>
      <c r="P51" s="2"/>
      <c r="Q51" s="14"/>
      <c r="R51" s="2"/>
      <c r="S51" s="2"/>
      <c r="T51" s="9"/>
      <c r="U51" s="2"/>
      <c r="V51" s="2"/>
      <c r="W51" s="21"/>
      <c r="X51" s="22"/>
      <c r="Y51" s="2"/>
      <c r="Z51" s="2"/>
      <c r="AA51" s="2"/>
      <c r="AB51" s="2"/>
      <c r="AC51" s="2"/>
      <c r="AD51" s="2"/>
      <c r="AE51" s="2"/>
      <c r="AF51" s="2"/>
      <c r="AH51" s="2"/>
    </row>
    <row r="52" spans="1:34" s="23" customFormat="1" ht="14.45">
      <c r="A52" s="52" t="s">
        <v>33</v>
      </c>
      <c r="B52" s="53">
        <f ca="1" xml:space="preserve"> SUMIF(R3:R44,"ACG",Y3:Y43)</f>
        <v>5280</v>
      </c>
      <c r="C52" s="25">
        <f xml:space="preserve"> SUMIF(R3:R43,"ACG",Z3:Z43)</f>
        <v>0</v>
      </c>
      <c r="D52" s="25">
        <f xml:space="preserve"> SUMIF(R3:R43,"ACG",AA3:AA43)</f>
        <v>0</v>
      </c>
      <c r="E52" s="25"/>
      <c r="F52" s="54">
        <f t="shared" ca="1" si="16"/>
        <v>5280</v>
      </c>
      <c r="G52" s="53">
        <f ca="1" xml:space="preserve"> SUMIF(R3:R44,"ACG",AC3:AC43)</f>
        <v>400</v>
      </c>
      <c r="H52" s="25">
        <f>SUMIF(R3:R43,"ACG",AD3:AD43)</f>
        <v>0</v>
      </c>
      <c r="I52" s="25">
        <f>SUMIF(R3:R43,"ACG",AE3:AE43)</f>
        <v>0</v>
      </c>
      <c r="J52" s="54">
        <f t="shared" ca="1" si="17"/>
        <v>400</v>
      </c>
      <c r="K52" s="58">
        <f ca="1" xml:space="preserve"> SUMIF(R3:R44,"ACG",AF3:AF43)</f>
        <v>4750</v>
      </c>
      <c r="L52" s="22"/>
      <c r="M52" s="22"/>
      <c r="N52" s="22"/>
      <c r="O52" s="2"/>
      <c r="P52" s="2"/>
      <c r="Q52" s="14"/>
      <c r="R52" s="2"/>
      <c r="S52" s="2"/>
      <c r="T52" s="9"/>
      <c r="U52" s="2"/>
      <c r="V52" s="2"/>
      <c r="W52" s="21"/>
      <c r="X52" s="22"/>
      <c r="Y52"/>
      <c r="Z52" s="2"/>
      <c r="AA52" s="2"/>
      <c r="AB52" s="2"/>
      <c r="AC52" s="2"/>
      <c r="AD52" s="2"/>
      <c r="AE52" s="2"/>
      <c r="AF52" s="2"/>
      <c r="AH52" s="2"/>
    </row>
    <row r="53" spans="1:34" s="23" customFormat="1">
      <c r="A53" s="51" t="s">
        <v>16</v>
      </c>
      <c r="B53" s="53">
        <f ca="1" xml:space="preserve"> SUMIF(R3:R44,"managers",Y3:Y43)</f>
        <v>10560</v>
      </c>
      <c r="C53" s="25">
        <f xml:space="preserve"> SUMIF(R3:R43,"managers",Z3:Z43)</f>
        <v>0</v>
      </c>
      <c r="D53" s="25">
        <f xml:space="preserve"> SUMIF(R3:R43,"managers",AA3:AA43)</f>
        <v>0</v>
      </c>
      <c r="E53" s="25"/>
      <c r="F53" s="54">
        <f t="shared" ca="1" si="16"/>
        <v>10560</v>
      </c>
      <c r="G53" s="53">
        <f ca="1" xml:space="preserve"> SUMIF(R3:R44,"managers",AC3:AC43)</f>
        <v>800</v>
      </c>
      <c r="H53" s="25">
        <f>SUMIF(R3:R43,"managers",AD3:AD43)</f>
        <v>0</v>
      </c>
      <c r="I53" s="25">
        <f>SUMIF(R3:R43,"managers",AE3:AE43)</f>
        <v>0</v>
      </c>
      <c r="J53" s="54">
        <f t="shared" ca="1" si="17"/>
        <v>800</v>
      </c>
      <c r="K53" s="58">
        <f ca="1" xml:space="preserve"> SUMIF(R3:R44,"managers",AF3:AF43)</f>
        <v>10000</v>
      </c>
      <c r="L53" s="22"/>
      <c r="M53" s="22"/>
      <c r="N53" s="22"/>
      <c r="O53" s="2"/>
      <c r="P53" s="2"/>
      <c r="Q53" s="2"/>
      <c r="R53" s="2"/>
      <c r="S53" s="2"/>
      <c r="T53" s="19"/>
      <c r="U53" s="22"/>
      <c r="V53" s="2"/>
      <c r="W53" s="21"/>
      <c r="X53" s="22"/>
      <c r="Y53" s="2"/>
      <c r="Z53" s="2"/>
      <c r="AA53" s="2"/>
      <c r="AB53" s="2"/>
      <c r="AC53" s="2"/>
      <c r="AD53" s="2"/>
      <c r="AE53" s="2"/>
      <c r="AF53" s="2"/>
      <c r="AH53" s="2"/>
    </row>
    <row r="54" spans="1:34" s="23" customFormat="1" ht="14.45" thickBot="1">
      <c r="A54" s="51" t="s">
        <v>70</v>
      </c>
      <c r="B54" s="55">
        <v>50</v>
      </c>
      <c r="C54" s="56">
        <v>50</v>
      </c>
      <c r="D54" s="56">
        <v>0</v>
      </c>
      <c r="E54" s="56"/>
      <c r="F54" s="57">
        <f t="shared" si="16"/>
        <v>100</v>
      </c>
      <c r="G54" s="55">
        <v>0</v>
      </c>
      <c r="H54" s="56">
        <v>0</v>
      </c>
      <c r="I54" s="56">
        <v>0</v>
      </c>
      <c r="J54" s="57">
        <f t="shared" si="17"/>
        <v>0</v>
      </c>
      <c r="K54" s="59">
        <v>3585.37</v>
      </c>
      <c r="L54" s="22"/>
      <c r="M54" s="22"/>
      <c r="N54" s="22"/>
      <c r="O54" s="2"/>
      <c r="P54" s="2"/>
      <c r="Q54" s="14"/>
      <c r="R54" s="2"/>
      <c r="S54" s="2"/>
      <c r="T54" s="9"/>
      <c r="U54" s="2"/>
      <c r="V54" s="2"/>
      <c r="W54" s="21"/>
      <c r="X54" s="22"/>
      <c r="Y54" s="2"/>
      <c r="Z54" s="2"/>
      <c r="AA54" s="2"/>
      <c r="AB54" s="2"/>
      <c r="AC54" s="2"/>
      <c r="AD54" s="2"/>
      <c r="AE54" s="2"/>
      <c r="AF54" s="2"/>
      <c r="AH54" s="2"/>
    </row>
    <row r="55" spans="1:34" s="23" customFormat="1">
      <c r="A55" s="21"/>
      <c r="B55" s="27">
        <f ca="1">SUM(B49:B54)</f>
        <v>220460</v>
      </c>
      <c r="C55" s="27">
        <f t="shared" ref="C55:K55" si="18">SUM(C49:C54)</f>
        <v>18416.235000000001</v>
      </c>
      <c r="D55" s="27">
        <f t="shared" si="18"/>
        <v>895.46</v>
      </c>
      <c r="E55" s="27">
        <f t="shared" si="18"/>
        <v>0</v>
      </c>
      <c r="F55" s="27">
        <f t="shared" ca="1" si="18"/>
        <v>239771.69500000001</v>
      </c>
      <c r="G55" s="27">
        <f t="shared" ca="1" si="18"/>
        <v>17200</v>
      </c>
      <c r="H55" s="27">
        <f t="shared" si="18"/>
        <v>2757.2799999999997</v>
      </c>
      <c r="I55" s="27">
        <f t="shared" si="18"/>
        <v>216.28</v>
      </c>
      <c r="J55" s="27">
        <f t="shared" ca="1" si="18"/>
        <v>20173.559999999998</v>
      </c>
      <c r="K55" s="27">
        <f t="shared" ca="1" si="18"/>
        <v>187450.37</v>
      </c>
      <c r="L55" s="27"/>
      <c r="M55" s="27"/>
      <c r="N55" s="22"/>
      <c r="O55" s="2"/>
      <c r="P55" s="2"/>
      <c r="Q55" s="14"/>
      <c r="R55" s="2"/>
      <c r="S55" s="2"/>
      <c r="T55" s="9"/>
      <c r="U55" s="2"/>
      <c r="V55" s="2"/>
      <c r="W55" s="21"/>
      <c r="X55" s="22"/>
      <c r="Y55" s="2"/>
      <c r="Z55" s="2"/>
      <c r="AA55" s="2"/>
      <c r="AB55" s="2"/>
      <c r="AC55" s="2"/>
      <c r="AD55" s="2"/>
      <c r="AE55" s="2"/>
      <c r="AF55" s="2"/>
      <c r="AH55" s="2"/>
    </row>
    <row r="56" spans="1:34">
      <c r="I56" s="24"/>
      <c r="K56" s="22"/>
      <c r="L56" s="22"/>
      <c r="M56" s="22"/>
      <c r="N56" s="22"/>
      <c r="Q56" s="14"/>
      <c r="W56" s="22"/>
    </row>
    <row r="57" spans="1:34">
      <c r="J57" s="24"/>
      <c r="K57" s="22"/>
      <c r="L57" s="22"/>
      <c r="M57" s="22"/>
      <c r="Q57" s="14"/>
      <c r="W57" s="22"/>
    </row>
    <row r="58" spans="1:34">
      <c r="Q58" s="14"/>
      <c r="W58" s="22"/>
    </row>
    <row r="59" spans="1:34">
      <c r="Q59" s="14"/>
    </row>
    <row r="60" spans="1:34" s="23" customFormat="1">
      <c r="A60" s="21"/>
      <c r="B60" s="2"/>
      <c r="C60" s="2"/>
      <c r="D60" s="2"/>
      <c r="E60" s="2"/>
      <c r="F60" s="2"/>
      <c r="G60" s="26"/>
      <c r="H60" s="26"/>
      <c r="I60" s="2"/>
      <c r="J60" s="2"/>
      <c r="K60" s="2"/>
      <c r="L60" s="2"/>
      <c r="M60" s="2"/>
      <c r="N60" s="2"/>
      <c r="O60" s="2"/>
      <c r="P60" s="2"/>
      <c r="Q60" s="14"/>
      <c r="R60" s="2"/>
      <c r="S60" s="9"/>
      <c r="T60" s="2"/>
      <c r="U60" s="2"/>
      <c r="V60" s="21"/>
      <c r="W60" s="2"/>
      <c r="X60" s="2"/>
      <c r="Y60" s="2"/>
      <c r="Z60" s="2"/>
      <c r="AA60" s="2"/>
      <c r="AB60" s="2"/>
      <c r="AC60" s="2"/>
      <c r="AD60" s="2"/>
      <c r="AE60" s="2"/>
      <c r="AG60" s="2"/>
    </row>
  </sheetData>
  <sortState xmlns:xlrd2="http://schemas.microsoft.com/office/spreadsheetml/2017/richdata2" ref="A3:AH43">
    <sortCondition ref="A3:A43"/>
  </sortState>
  <mergeCells count="8">
    <mergeCell ref="B47:F47"/>
    <mergeCell ref="G47:J47"/>
    <mergeCell ref="Y1:AF1"/>
    <mergeCell ref="A1:A2"/>
    <mergeCell ref="B1:J1"/>
    <mergeCell ref="K1:Q1"/>
    <mergeCell ref="S1:U1"/>
    <mergeCell ref="V1:X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6DB3C-BE46-4188-9C13-E6D16434B1ED}">
  <dimension ref="A1:N36"/>
  <sheetViews>
    <sheetView workbookViewId="0">
      <selection activeCell="F25" sqref="F25"/>
    </sheetView>
  </sheetViews>
  <sheetFormatPr defaultRowHeight="14.45"/>
  <cols>
    <col min="1" max="1" width="14.28515625" bestFit="1" customWidth="1"/>
    <col min="2" max="6" width="11.42578125" bestFit="1" customWidth="1"/>
    <col min="7" max="13" width="13.140625" bestFit="1" customWidth="1"/>
    <col min="14" max="14" width="14.140625" bestFit="1" customWidth="1"/>
  </cols>
  <sheetData>
    <row r="1" spans="1:14" ht="15" thickBot="1">
      <c r="B1" s="31" t="s">
        <v>71</v>
      </c>
      <c r="C1" s="31" t="s">
        <v>72</v>
      </c>
      <c r="D1" s="31" t="s">
        <v>73</v>
      </c>
      <c r="E1" s="31" t="s">
        <v>74</v>
      </c>
      <c r="F1" s="31" t="s">
        <v>75</v>
      </c>
      <c r="G1" s="31" t="s">
        <v>76</v>
      </c>
      <c r="H1" s="31" t="s">
        <v>77</v>
      </c>
      <c r="I1" s="31" t="s">
        <v>78</v>
      </c>
      <c r="J1" s="31" t="s">
        <v>79</v>
      </c>
      <c r="K1" s="31" t="s">
        <v>80</v>
      </c>
      <c r="L1" s="31" t="s">
        <v>81</v>
      </c>
      <c r="M1" s="31" t="s">
        <v>82</v>
      </c>
    </row>
    <row r="2" spans="1:14">
      <c r="A2" s="32" t="s">
        <v>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42"/>
    </row>
    <row r="3" spans="1:14">
      <c r="A3" s="34" t="s">
        <v>83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46"/>
      <c r="N3" s="43"/>
    </row>
    <row r="4" spans="1:14">
      <c r="A4" s="34" t="s">
        <v>84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48"/>
      <c r="N4" s="43"/>
    </row>
    <row r="5" spans="1:14">
      <c r="A5" s="34" t="s">
        <v>65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46"/>
      <c r="N5" s="43"/>
    </row>
    <row r="6" spans="1:14">
      <c r="A6" s="34" t="s">
        <v>66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46"/>
      <c r="N6" s="43"/>
    </row>
    <row r="7" spans="1:14">
      <c r="A7" s="34" t="s">
        <v>67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44"/>
      <c r="N7" s="43"/>
    </row>
    <row r="8" spans="1:14" ht="15" thickBot="1">
      <c r="A8" s="50" t="s">
        <v>6</v>
      </c>
      <c r="B8" s="37">
        <v>0</v>
      </c>
      <c r="C8" s="37">
        <v>0</v>
      </c>
      <c r="D8" s="37">
        <v>0</v>
      </c>
      <c r="E8" s="37">
        <v>0</v>
      </c>
      <c r="F8" s="37">
        <v>0</v>
      </c>
      <c r="G8" s="37">
        <v>0</v>
      </c>
      <c r="H8" s="37">
        <v>0</v>
      </c>
      <c r="I8" s="37">
        <v>0</v>
      </c>
      <c r="J8" s="37">
        <v>0</v>
      </c>
      <c r="K8" s="37">
        <v>0</v>
      </c>
      <c r="L8" s="37">
        <v>0</v>
      </c>
      <c r="M8" s="45">
        <v>0</v>
      </c>
    </row>
    <row r="9" spans="1:14" ht="15" thickBot="1"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</row>
    <row r="10" spans="1:14">
      <c r="A10" s="32" t="s">
        <v>85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42"/>
    </row>
    <row r="11" spans="1:14">
      <c r="A11" s="34" t="s">
        <v>83</v>
      </c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44"/>
      <c r="N11" s="43"/>
    </row>
    <row r="12" spans="1:14">
      <c r="A12" s="34" t="s">
        <v>84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46"/>
      <c r="N12" s="43"/>
    </row>
    <row r="13" spans="1:14" ht="15" thickBot="1">
      <c r="A13" s="50" t="s">
        <v>6</v>
      </c>
      <c r="B13" s="37">
        <v>0</v>
      </c>
      <c r="C13" s="37">
        <v>0</v>
      </c>
      <c r="D13" s="37">
        <v>0</v>
      </c>
      <c r="E13" s="37">
        <v>0</v>
      </c>
      <c r="F13" s="37">
        <v>0</v>
      </c>
      <c r="G13" s="37">
        <v>0</v>
      </c>
      <c r="H13" s="37">
        <v>0</v>
      </c>
      <c r="I13" s="37">
        <v>0</v>
      </c>
      <c r="J13" s="37">
        <v>0</v>
      </c>
      <c r="K13" s="37">
        <v>0</v>
      </c>
      <c r="L13" s="37">
        <v>0</v>
      </c>
      <c r="M13" s="45">
        <v>0</v>
      </c>
    </row>
    <row r="14" spans="1:14" ht="15" thickBot="1"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</row>
    <row r="15" spans="1:14">
      <c r="A15" s="32" t="s">
        <v>86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42"/>
    </row>
    <row r="16" spans="1:14">
      <c r="A16" s="34" t="s">
        <v>83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46"/>
      <c r="N16" s="43"/>
    </row>
    <row r="17" spans="1:14">
      <c r="A17" s="34" t="s">
        <v>84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46"/>
      <c r="N17" s="43"/>
    </row>
    <row r="18" spans="1:14">
      <c r="A18" s="34" t="s">
        <v>65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46"/>
      <c r="N18" s="43"/>
    </row>
    <row r="19" spans="1:14">
      <c r="A19" s="34" t="s">
        <v>66</v>
      </c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44"/>
      <c r="N19" s="43"/>
    </row>
    <row r="20" spans="1:14" ht="15" thickBot="1">
      <c r="A20" s="50" t="s">
        <v>6</v>
      </c>
      <c r="B20" s="37">
        <v>0</v>
      </c>
      <c r="C20" s="37">
        <v>0</v>
      </c>
      <c r="D20" s="37">
        <v>0</v>
      </c>
      <c r="E20" s="37">
        <v>0</v>
      </c>
      <c r="F20" s="37">
        <v>0</v>
      </c>
      <c r="G20" s="37">
        <v>0</v>
      </c>
      <c r="H20" s="37">
        <v>0</v>
      </c>
      <c r="I20" s="37">
        <v>0</v>
      </c>
      <c r="J20" s="37">
        <v>0</v>
      </c>
      <c r="K20" s="37">
        <v>0</v>
      </c>
      <c r="L20" s="37">
        <v>0</v>
      </c>
      <c r="M20" s="45">
        <v>0</v>
      </c>
      <c r="N20" s="39"/>
    </row>
    <row r="22" spans="1:14">
      <c r="A22" s="39" t="s">
        <v>87</v>
      </c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7"/>
    </row>
    <row r="23" spans="1:14">
      <c r="A23" s="39" t="s">
        <v>88</v>
      </c>
    </row>
    <row r="24" spans="1:14">
      <c r="A24" s="39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7"/>
    </row>
    <row r="25" spans="1:14">
      <c r="A25" s="39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7"/>
    </row>
    <row r="26" spans="1:14">
      <c r="M26" s="43"/>
    </row>
    <row r="27" spans="1:14">
      <c r="M27" s="43"/>
      <c r="N27" s="43"/>
    </row>
    <row r="28" spans="1:14">
      <c r="M28" s="35"/>
      <c r="N28" s="43"/>
    </row>
    <row r="29" spans="1:14">
      <c r="B29" s="38"/>
      <c r="M29" s="35"/>
    </row>
    <row r="30" spans="1:14">
      <c r="A30" s="38"/>
      <c r="B30" s="49"/>
      <c r="C30" s="38"/>
      <c r="M30" s="35"/>
    </row>
    <row r="31" spans="1:14">
      <c r="A31" s="38"/>
      <c r="C31" s="38"/>
      <c r="M31" s="43"/>
    </row>
    <row r="32" spans="1:14">
      <c r="A32" s="38"/>
      <c r="C32" s="38"/>
    </row>
    <row r="33" spans="1:3">
      <c r="A33" s="38"/>
      <c r="C33" s="38"/>
    </row>
    <row r="34" spans="1:3">
      <c r="A34" s="38"/>
      <c r="C34" s="38"/>
    </row>
    <row r="35" spans="1:3">
      <c r="A35" s="38"/>
      <c r="C35" s="38"/>
    </row>
    <row r="36" spans="1:3">
      <c r="A36" s="38"/>
      <c r="C36" s="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Joyce Ann Sison</dc:creator>
  <cp:keywords/>
  <dc:description/>
  <cp:lastModifiedBy>Guest User</cp:lastModifiedBy>
  <cp:revision/>
  <dcterms:created xsi:type="dcterms:W3CDTF">2025-01-27T06:54:39Z</dcterms:created>
  <dcterms:modified xsi:type="dcterms:W3CDTF">2026-08-11T02:39:18Z</dcterms:modified>
  <cp:category/>
  <cp:contentStatus/>
</cp:coreProperties>
</file>