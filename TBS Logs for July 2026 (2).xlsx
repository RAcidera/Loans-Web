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eoAcidera\Downloads\"/>
    </mc:Choice>
  </mc:AlternateContent>
  <xr:revisionPtr revIDLastSave="0" documentId="13_ncr:1_{143DA96F-FA0A-4B2D-9412-00E6C7EA38BF}" xr6:coauthVersionLast="47" xr6:coauthVersionMax="47" xr10:uidLastSave="{00000000-0000-0000-0000-000000000000}"/>
  <bookViews>
    <workbookView xWindow="-120" yWindow="-120" windowWidth="29040" windowHeight="15720" xr2:uid="{7828AC87-FC87-4349-8511-CEE71AAAA70B}"/>
  </bookViews>
  <sheets>
    <sheet name="Sheet1" sheetId="1" r:id="rId1"/>
    <sheet name="Sheet2" sheetId="2" r:id="rId2"/>
  </sheets>
  <definedNames>
    <definedName name="_xlnm._FilterDatabase" localSheetId="0" hidden="1">Sheet1!$A$1:$L$146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46" i="1" l="1"/>
  <c r="J42" i="1"/>
  <c r="J43" i="1"/>
  <c r="J44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1" i="1"/>
  <c r="J130" i="1"/>
  <c r="J126" i="1"/>
  <c r="J125" i="1"/>
  <c r="J122" i="1"/>
  <c r="J121" i="1"/>
  <c r="J119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7" i="1"/>
  <c r="J86" i="1"/>
  <c r="J85" i="1"/>
  <c r="J84" i="1"/>
  <c r="J83" i="1"/>
  <c r="J81" i="1"/>
  <c r="J79" i="1"/>
  <c r="J77" i="1"/>
  <c r="J74" i="1"/>
  <c r="J73" i="1"/>
  <c r="J72" i="1"/>
  <c r="J70" i="1"/>
  <c r="J69" i="1"/>
  <c r="J65" i="1"/>
  <c r="J64" i="1"/>
  <c r="J63" i="1"/>
  <c r="J62" i="1"/>
  <c r="J61" i="1"/>
  <c r="J60" i="1"/>
  <c r="J55" i="1"/>
  <c r="J53" i="1"/>
  <c r="J52" i="1"/>
  <c r="J50" i="1"/>
  <c r="J40" i="1"/>
  <c r="J39" i="1"/>
  <c r="J38" i="1"/>
  <c r="J35" i="1"/>
  <c r="J34" i="1"/>
  <c r="J33" i="1"/>
  <c r="J31" i="1"/>
  <c r="J30" i="1"/>
  <c r="J29" i="1"/>
  <c r="J28" i="1"/>
  <c r="J27" i="1"/>
  <c r="J26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153" i="1"/>
  <c r="D152" i="1"/>
  <c r="G146" i="1"/>
  <c r="K146" i="1" l="1"/>
  <c r="J146" i="1"/>
  <c r="L146" i="1"/>
</calcChain>
</file>

<file path=xl/sharedStrings.xml><?xml version="1.0" encoding="utf-8"?>
<sst xmlns="http://schemas.openxmlformats.org/spreadsheetml/2006/main" count="630" uniqueCount="162">
  <si>
    <t>Date</t>
  </si>
  <si>
    <t>Username</t>
  </si>
  <si>
    <t>JobName</t>
  </si>
  <si>
    <t>SubJobName</t>
  </si>
  <si>
    <t>StartTime</t>
  </si>
  <si>
    <t>EndTime</t>
  </si>
  <si>
    <t>Hrs</t>
  </si>
  <si>
    <t>Description</t>
  </si>
  <si>
    <t>Tag</t>
  </si>
  <si>
    <t>Benjie</t>
  </si>
  <si>
    <t>TBS_PRG</t>
  </si>
  <si>
    <t>JUN2026</t>
  </si>
  <si>
    <t>JUN2026: cont. adjusting the import template sheet</t>
  </si>
  <si>
    <t>New</t>
  </si>
  <si>
    <t>Reymart</t>
  </si>
  <si>
    <t>TBS_CALENDAR</t>
  </si>
  <si>
    <t>MAINTENANCE</t>
  </si>
  <si>
    <t xml:space="preserve">Bug Fix: Filing Type - FT_055 -Audit: Created By / Date captured, Action By was not captured  </t>
  </si>
  <si>
    <t xml:space="preserve">Bug Fix: Holiday - HOL_008 - Delete unused holiday Deleted unused holiday still appears in the holiday list  </t>
  </si>
  <si>
    <t xml:space="preserve">Bug Fix: Filing Type - FT_056 - Audit: Updated By / Date captured Action By was not captured  </t>
  </si>
  <si>
    <t xml:space="preserve">Bug Fix: State - ST_016 - Cities are displayed in a single continuous list without pagination features  </t>
  </si>
  <si>
    <t>Bug Fix: UL-008 - The system successfully generates a new temporary password, but it fails to mask it by default</t>
  </si>
  <si>
    <t xml:space="preserve">Bug Fix: Users List - UL-012 - Agent role – assign Processor/Preparer/Filer  </t>
  </si>
  <si>
    <t xml:space="preserve">Bug Fix: Holiday - HOL_010 - Audit tracking on add/edit/delete/clone  </t>
  </si>
  <si>
    <t xml:space="preserve">Bug Fix: Users List - UL-013 - Assistant Manager role assignment, Data Display Mismatch users filing roles  </t>
  </si>
  <si>
    <t>Bug Fix: UL-016 Supervisor role assignment - The Users Search Result grid incorrectly displays "Processor" in list</t>
  </si>
  <si>
    <t xml:space="preserve">Bug Fix: ST_021 - States - Add / Edit / Delete - Delete City was not captured  </t>
  </si>
  <si>
    <t xml:space="preserve">Bug Fix: UL-015 - The Users Search Result grid incorrectly displays "Processor" in the user's filing role list  </t>
  </si>
  <si>
    <t>Bug Fix: Filing Type - FT_020 - Start date did not automatically change after changing the frequency</t>
  </si>
  <si>
    <t>2026JULY</t>
  </si>
  <si>
    <t>Bug Fix: FT - Filing Types - Enhanced the capture of exact process transactions during 'cloneFiling' in the API</t>
  </si>
  <si>
    <t>Bug Fix: FT - Form - Error when deleting test form. No filing is open</t>
  </si>
  <si>
    <t>Bug Fix: FT - Form - Added new validation related dbase tables that use FormId, particularly in Bank and DebitLimit.</t>
  </si>
  <si>
    <t>Bug Fix: ST - City - Delete City was not captured</t>
  </si>
  <si>
    <t>2026JUL</t>
  </si>
  <si>
    <t>2026JUL: work on the adjustment for setting up the template sheet.</t>
  </si>
  <si>
    <t>2026JUL: cont.. working on the adjustment for setting up the template sheet.</t>
  </si>
  <si>
    <t>2026JUL: JUN2026: working on the displaying of state, from states module and its interaction with others</t>
  </si>
  <si>
    <t>2026JUL: Work on the affected parts when only allowing to display the state with tax rates on other modules</t>
  </si>
  <si>
    <t>2026JUL: Cont.. working on the affected parts when only allowing to display the state with tax rates on other modules</t>
  </si>
  <si>
    <t>Bug Fix: FT - Filing Types - Removed the validation for detecting existing forms when importing new forms and filings</t>
  </si>
  <si>
    <t>Bug Fix: Sales &amp; Use Tax - CST/RVWS Gross Allocation - Enabled the Total Amount field for Managers role</t>
  </si>
  <si>
    <t>Bug Fix: FT Filing Types - When importing filings for other BU, error message saying form already exists was encountered</t>
  </si>
  <si>
    <t>Bug Fix: Filing Website - Enhanced the import process to support updating existing data using the re-import process</t>
  </si>
  <si>
    <t>Worked on the committing of changes. Aggregate similar changes.</t>
  </si>
  <si>
    <t>Bug Fix: FT_020 - Added function 'processMonthAndDayValuesForSavingEditForm' that get the exact date</t>
  </si>
  <si>
    <t>Bug Fix: FT_020 - Added new sections for date fields based on the selected frequency.</t>
  </si>
  <si>
    <t>Bug Fix: FT_020 - Added function 'loadFilingPeriodEditForm_change' that properly populates dates based on frequency</t>
  </si>
  <si>
    <t xml:space="preserve">Bug Fix: FT_020 - Start Date recalculated by Frequency  </t>
  </si>
  <si>
    <t>2026JUL: working on the fix for locking of invoices. Change the locking on completed invoices.</t>
  </si>
  <si>
    <t>2026JUL: working on the assignment issue on the define jurisdiction name for geocode and tax category.</t>
  </si>
  <si>
    <t>2026JUL: development update meeting on synergy with tbs and binc team.</t>
  </si>
  <si>
    <t>Bug Fix: Import Gross and Tax Amount - Enhanced the function 'getState' and ensured they are trimmed before being used</t>
  </si>
  <si>
    <t>2026JUL: Reviewing the issue on discrepancy the zainab sent this is for the nov 2024</t>
  </si>
  <si>
    <t>2026JUL: working on the ngtypeahead of the dropdown.</t>
  </si>
  <si>
    <t>Cont. reviewing the 12-2024, 03-2025 &amp; 05-2025 period mentioned that has some discrepancy.</t>
  </si>
  <si>
    <t>Conducted debugging in the DevTools section of main.js in CMT Tax Calendar test site 8091 to capture the exact issue</t>
  </si>
  <si>
    <t xml:space="preserve"> Cont. reviewing the 12-2024, 03-2025 &amp; 05-2025 period mentioned that has some discrepancy.</t>
  </si>
  <si>
    <t>2026JUL: work on the adding of new vertex setting for geocode or tax category of non existing setting.</t>
  </si>
  <si>
    <t>2026JUL: cont.. working on the adding of new vertex setting for geocode or tax category of non existing setting.</t>
  </si>
  <si>
    <t xml:space="preserve">2026JUL:  work on the event &amp; function. Tried adding the validation and fixing any bugs on the saving </t>
  </si>
  <si>
    <t>2026JUL: fixing the data for the vertex setting of import template. Saving to db the name for those without jurisdiction</t>
  </si>
  <si>
    <t>2026JUL: work on the data. Seeding the default reporting location. Add columns on vertexsetting, default location,</t>
  </si>
  <si>
    <t>Investigate and fix issue on wy not matching the imported amount from sales tax calc tool.</t>
  </si>
  <si>
    <t>Cont. working on the issues from filter not working on tax calendar, the filing setup not displaying.</t>
  </si>
  <si>
    <t>Chelle</t>
  </si>
  <si>
    <t>Investigate new issues, mostly caused by filing types not setup properly</t>
  </si>
  <si>
    <t>Bug Fix - Prompt Tax: Assigned the exact qtr start and end dates to New York state filings with a quarterly frequency</t>
  </si>
  <si>
    <t xml:space="preserve"> Cont. working on the issues from filter not working on tax calendar, the filing setup not displaying.</t>
  </si>
  <si>
    <t>Bug Fix - Prompt Tax: Added a new function in the controller API to filter those filings with a quarterly frequency</t>
  </si>
  <si>
    <t>2026JUL: working on the import template settings. Changing the behavior of enabling of state</t>
  </si>
  <si>
    <t>2026JUL: cont. working on the import template settings. Changing the behavior of enabling of state</t>
  </si>
  <si>
    <t>2026JUL: creating 2 endpoint for single and multiple enabling/disabling of import template setting</t>
  </si>
  <si>
    <t>Bug Fix - FT: Enhanced the function 'compose-data-for-updating-form.ts' to ensure clean data before importing forms</t>
  </si>
  <si>
    <t>Bug Fix - FT: Improved the security of form deletion by adding validation for debit limit/bank account linked to FormId</t>
  </si>
  <si>
    <t>Bug Fix - FT: Enhanced the function 'compose-data-for-creating-form.ts' to ensure clean data before importing forms</t>
  </si>
  <si>
    <t>Bug Fix - FT: Applied a feature that allows importing the same forms again for use under another company</t>
  </si>
  <si>
    <t>Bug Fix - BA_016: Updated the implementation of privileges for the Admin role on the bank account page</t>
  </si>
  <si>
    <t>Bug Fix - ST_016: Updated city-search.service.ts by adding the onPageChange and onPageSizeChanged functions</t>
  </si>
  <si>
    <t>Working on the impor template setting mapping of the states on the audit report setting.</t>
  </si>
  <si>
    <t>Working on the state module associate states.</t>
  </si>
  <si>
    <t>Cont. working on the state module associate states.</t>
  </si>
  <si>
    <t>Bug Fix - BA_016: Applied the privileges for the Assistant Manager role on the bank account page</t>
  </si>
  <si>
    <t>Bug Fix - ST_016: Updated the city-search.service.ts by adding logic for filtering with pagination when loading data</t>
  </si>
  <si>
    <t>2026JUL: work on the behavior for adding of company jurisdiction, adjusted the form for adding of new company</t>
  </si>
  <si>
    <t>Bug Fix - ST_016: Updated the vmCity$ combineLatest function by adding a total counter and pager instance</t>
  </si>
  <si>
    <t>Bug Fix - HOL_006: Enhanced data handling for nullable values before using them in each condition in the backend API</t>
  </si>
  <si>
    <t>Bug Fix - HOL_006: Added validation to all required fields before triggering the submit function</t>
  </si>
  <si>
    <t>2026JUL: cont. working on the behavior for adding of company jurisdiction, adjusted the form for adding of new company</t>
  </si>
  <si>
    <t xml:space="preserve">2026JUL: working on the flow for adding/editing of jurisdiction &amp; create delete function </t>
  </si>
  <si>
    <t>Bug Fix - ST_016: Improved the City List UI by adding pagination and enhancing the scrolling overflow design</t>
  </si>
  <si>
    <t>2026JUL: works on the not admin display of import tempalate setting.</t>
  </si>
  <si>
    <t>Bug Fix -LGN-022: Enhanced the EmailController by handling SendMail response and properly using the message response</t>
  </si>
  <si>
    <t>Works on the associate states for the state module &amp; applying the parent ui adjustments.</t>
  </si>
  <si>
    <t>Bug Fix -LGN-022: Updated EmailerService.cs by changing the SendMail return value to a boolean data type</t>
  </si>
  <si>
    <t>Cont.. working on the associate states for the state module &amp; applying the parent ui adjustments.</t>
  </si>
  <si>
    <t>Bug Fix - FT_026: Added Vertex company code as a required field and included it in the validation when saving data</t>
  </si>
  <si>
    <t>Bug Fix -LGN-022: Changed the condition for handling SendMail response in payment approval process within AuthController</t>
  </si>
  <si>
    <t>Tax Calendar: Improved calendarFilingController sorting by adding null checks to prevent errors in condition logic</t>
  </si>
  <si>
    <t>Bug Fix - FT_043: Import valid Calendar Filings batch- Fix saving issue for “Is Generated from Sales Tax” field</t>
  </si>
  <si>
    <t xml:space="preserve">Filing Type Enhancements: Disable the cells that no need to update in the generated import file  </t>
  </si>
  <si>
    <t>Cont working on the update for the backend of tax rule updating</t>
  </si>
  <si>
    <t xml:space="preserve"> working on the approach I should apply on the  single document tax rule. </t>
  </si>
  <si>
    <t>2026JUL: investigate the missing td of the invoice document &amp; adjusting the data on it.</t>
  </si>
  <si>
    <t>Filing Type Enhancements: Modified 'generate-template-for-updating-form.ts' added function that can protect Excel sheet</t>
  </si>
  <si>
    <t>Bug Fix - FT_026 Open Filings: Enhanced filing-type frontend by adding conditional logic to display company code or name</t>
  </si>
  <si>
    <t>2026JUL: works on the issue of activity log not searching when user was selected.</t>
  </si>
  <si>
    <t>Filing Type Enhancements: New feature - Added support for locking specific Excel cells via 'xlsx-js-style' library</t>
  </si>
  <si>
    <t>Bug Fix - FT_026 Open Filings: Enhanced FormController.cs by adding company name as default data for filing list display</t>
  </si>
  <si>
    <t>Bug Fix - Filing Type: Modified FilingTypeController.cs to add saving of import file within the main core import process</t>
  </si>
  <si>
    <t>Bug Fix - Filing Type: Added new function appendObjectToFormData.ts to combine cfiling list/import file into a 1 request</t>
  </si>
  <si>
    <t>Bug Fix - Filing Type: Enhanced frontend import functionality by adding file-saving capability to upload/import process</t>
  </si>
  <si>
    <t>Bug Fix - Filing Type: Improved filing-type-service.ts by adopting FormData to support file inclusion in requests</t>
  </si>
  <si>
    <t>2026JUL: Work on testing if the tax rule restrictions</t>
  </si>
  <si>
    <t>2026JUL: Started working on polishing the associated states for the state module.</t>
  </si>
  <si>
    <t>2026JUL: Worked on the company modal, change the positioning and layout of the fields</t>
  </si>
  <si>
    <t>Work on the restriction of the x days for auditing and the import template sheet.</t>
  </si>
  <si>
    <t>Dev update for tbs &amp; binc team</t>
  </si>
  <si>
    <t>Bug Fix - UAT-LGN-001: Successful Login Authentication to dashboard or other default pages</t>
  </si>
  <si>
    <t>Bug Fix - BA_016 - Disabled buttons visually distinct per user roles logged in</t>
  </si>
  <si>
    <t>Bug Fix - Backend Emailer: Resolved code merge conflicts in the Backend Emailer to ensure proper functionality</t>
  </si>
  <si>
    <t>Bug Fix - Resolved the previous issues of UAT&amp;#8209;LGN&amp;#8209;001/BA_016 during last QA testing before UAT deployment</t>
  </si>
  <si>
    <t>Bug Fix - Filing Website: Improved import process with server-side storage of uploaded template files for debugging</t>
  </si>
  <si>
    <t>Bug Fix - Filing Website: Modified the main core function of the import process to include saving the import file</t>
  </si>
  <si>
    <t>Bug Fix - Audit Trail: Updated the main query of the audit trail logs in the API, changed the keyword term for search</t>
  </si>
  <si>
    <t>Bug Fix - Filing Website: Improved FilingWebsite import audit logging by adding file name capture</t>
  </si>
  <si>
    <t>Bug Fix - Sales Tax: Sorting filing column shows an error message, "An error occured while getting the filings</t>
  </si>
  <si>
    <t>Bug Fix - Sales Tax: Updated the database view vFilingItems and added filingGroupName as a new returned column</t>
  </si>
  <si>
    <t>Bug Fix - Sales Tax: Modified CalendarFilingController sorting by adding a property validation step before execution</t>
  </si>
  <si>
    <t>Bug Fix - Sales Tax: Modified returned column data and added filingGroupName which was the main cause of filtering issue</t>
  </si>
  <si>
    <t>Meeting with TBS re server migration</t>
  </si>
  <si>
    <t>Bug Fix - STC-145: Consumer use tax rate change prompts confirmation</t>
  </si>
  <si>
    <t>Bug Fix - STC-145: Modified state model variable by adding new field to provide an option for updating consumer use rate</t>
  </si>
  <si>
    <t>Bug Fix - STC-145: Added a confirmation modal component that prompts whenever changes in use tax rate are detected</t>
  </si>
  <si>
    <t>Bug Fix - STC-145: Added UI component/designed the confirmation modal to capture the option selected by the user</t>
  </si>
  <si>
    <t>2026JULY: Worked on enabling single or all states, and clicked edit. Displaying editable on all rows.</t>
  </si>
  <si>
    <t>2026JUL: work on the combining of amounts for states with associated in import template.</t>
  </si>
  <si>
    <t>Bug Fix - STC-145: Modified the PutState API endpoint added option to update the sales tax state period onwards</t>
  </si>
  <si>
    <t>Bug Fix-FT: Improved validation of update import option for isGeneratedFromSalesTax values to fix other sales tax issues</t>
  </si>
  <si>
    <t>2026JUL: adding tooltip on the new fields as information on how to used them.</t>
  </si>
  <si>
    <t>2026JUL: working on the isreporting location value assignment and the combining of childs from the associated states</t>
  </si>
  <si>
    <t>2026JUL: cont. working on combining of childs from the associated states.</t>
  </si>
  <si>
    <t>Bug Fix - STC-145: Modified PutState API endpoint added condition to update consumer use rate for current period only</t>
  </si>
  <si>
    <t>Bug Fix-FT: Improved validation of add import option for isGeneratedFromSalesTax values to fix other sales tax issues</t>
  </si>
  <si>
    <t>2026JUL: worked on the ui positions when adding/editing of import template settings. Tested &amp; debugged.</t>
  </si>
  <si>
    <t>2026JUL: worked on merging the changes and work on the logs for applying the tax rule on specific document only</t>
  </si>
  <si>
    <t>Filing Type: Added an option from ExcelJS package to lock the entire sheet, specific cells in the import file</t>
  </si>
  <si>
    <t>Filing Type: Added a function to lock columns A–E in Excel cells within the sheet during template file generation</t>
  </si>
  <si>
    <t>Filing Type: Enhanced sheet protection by adding additional settings to ensure proper behavior of locking Excel sheet</t>
  </si>
  <si>
    <t>Filing Type: Updated each line of code that designs Excel cells and appended the settings to lock the cells</t>
  </si>
  <si>
    <t xml:space="preserve">2026JUL: Investigated the issue on invoice linking and data-analysis doc not matching with  there total #. </t>
  </si>
  <si>
    <t>2026JUL: debug &amp; test the importing of invoices with how the tag for processing state behaves.</t>
  </si>
  <si>
    <t>2026JUL: adjusted the saving to process tax to consider if its newly created tax rule.</t>
  </si>
  <si>
    <t>2026JUL: Cont. working on client mapping. Updated the invoice linking function for pulling of import documents</t>
  </si>
  <si>
    <t>Filing Website: Enhanced the saving process by adding a function to store the template file on the server side</t>
  </si>
  <si>
    <t>Filing Website: Update API request from frontend to include template file along with FilingWebsite data sent to server</t>
  </si>
  <si>
    <t>2026JUL: worked on the merging &amp; deploying of build to server.</t>
  </si>
  <si>
    <t>DEPLOYMENT</t>
  </si>
  <si>
    <t>Merging and deployment of new version to UAT site</t>
  </si>
  <si>
    <t>Maintenance</t>
  </si>
  <si>
    <t>CMT Testing</t>
  </si>
  <si>
    <t>New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</si>
</sst>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h:mm\ AM/PM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17" fontId="0" fillId="0" borderId="0" xfId="0" quotePrefix="1" applyNumberFormat="1"/>
    <xf numFmtId="43" fontId="0" fillId="0" borderId="0" xfId="0" applyNumberFormat="1"/>
    <xf numFmtId="14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43" fontId="0" fillId="2" borderId="0" xfId="1" applyFont="1" applyFill="1"/>
    <xf numFmtId="43" fontId="0" fillId="2" borderId="0" xfId="0" applyNumberFormat="1" applyFill="1"/>
    <xf numFmtId="14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43" fontId="0" fillId="3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3CFF7-2A09-4115-B0C4-783D3DFFA9AB}">
  <dimension ref="A1:M153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5" x14ac:dyDescent="0.25"/>
  <cols>
    <col min="1" max="1" width="9.42578125" style="1" bestFit="1" customWidth="1"/>
    <col min="2" max="2" width="10" bestFit="1" customWidth="1"/>
    <col min="3" max="3" width="14.28515625" bestFit="1" customWidth="1"/>
    <col min="4" max="4" width="16" customWidth="1"/>
    <col min="5" max="5" width="13.85546875" style="2" customWidth="1"/>
    <col min="6" max="6" width="13.42578125" style="2" customWidth="1"/>
    <col min="7" max="7" width="10.7109375" style="3" customWidth="1"/>
    <col min="8" max="8" width="113" bestFit="1" customWidth="1"/>
    <col min="10" max="10" width="14" style="3" bestFit="1" customWidth="1"/>
    <col min="11" max="11" width="15.7109375" style="3" customWidth="1"/>
    <col min="12" max="12" width="13.85546875" style="3" bestFit="1" customWidth="1"/>
  </cols>
  <sheetData>
    <row r="1" spans="1:12" x14ac:dyDescent="0.2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4" t="s">
        <v>6</v>
      </c>
      <c r="H1" s="12" t="s">
        <v>7</v>
      </c>
      <c r="I1" s="12" t="s">
        <v>8</v>
      </c>
      <c r="J1" s="14" t="s">
        <v>159</v>
      </c>
      <c r="K1" s="14" t="s">
        <v>160</v>
      </c>
      <c r="L1" s="14" t="s">
        <v>161</v>
      </c>
    </row>
    <row r="2" spans="1:12" x14ac:dyDescent="0.25">
      <c r="A2" s="1">
        <v>46204</v>
      </c>
      <c r="B2" t="s">
        <v>9</v>
      </c>
      <c r="C2" t="s">
        <v>10</v>
      </c>
      <c r="D2" s="4" t="s">
        <v>11</v>
      </c>
      <c r="E2" s="2">
        <v>1.5569444444444445</v>
      </c>
      <c r="F2" s="2">
        <v>1.5756944444444443</v>
      </c>
      <c r="G2" s="3">
        <v>0.45</v>
      </c>
      <c r="H2" t="s">
        <v>12</v>
      </c>
      <c r="I2" t="s">
        <v>13</v>
      </c>
      <c r="L2" s="3">
        <f t="shared" ref="L2:L33" si="0">IF(I2="New",G2,0)</f>
        <v>0.45</v>
      </c>
    </row>
    <row r="3" spans="1:12" x14ac:dyDescent="0.25">
      <c r="A3" s="1">
        <v>46204</v>
      </c>
      <c r="B3" t="s">
        <v>14</v>
      </c>
      <c r="C3" t="s">
        <v>15</v>
      </c>
      <c r="D3" t="s">
        <v>16</v>
      </c>
      <c r="E3" s="2">
        <v>1.4465277777777779</v>
      </c>
      <c r="F3" s="2">
        <v>1.5340277777777778</v>
      </c>
      <c r="G3" s="3">
        <v>2.1</v>
      </c>
      <c r="H3" t="s">
        <v>17</v>
      </c>
      <c r="J3" s="3">
        <f t="shared" ref="J3:J65" si="1">IF(I3="New",0,G3-K3)</f>
        <v>0.60000000000000009</v>
      </c>
      <c r="K3" s="3">
        <v>1.5</v>
      </c>
      <c r="L3" s="3">
        <f t="shared" si="0"/>
        <v>0</v>
      </c>
    </row>
    <row r="4" spans="1:12" x14ac:dyDescent="0.25">
      <c r="A4" s="1">
        <v>46204</v>
      </c>
      <c r="B4" t="s">
        <v>14</v>
      </c>
      <c r="C4" t="s">
        <v>15</v>
      </c>
      <c r="D4" t="s">
        <v>16</v>
      </c>
      <c r="E4" s="2">
        <v>1.7541666666666667</v>
      </c>
      <c r="F4" s="2">
        <v>1.8451388888888889</v>
      </c>
      <c r="G4" s="3">
        <v>2.1833330000000002</v>
      </c>
      <c r="H4" t="s">
        <v>18</v>
      </c>
      <c r="J4" s="3">
        <f t="shared" si="1"/>
        <v>1.3833330000000001</v>
      </c>
      <c r="K4" s="3">
        <v>0.8</v>
      </c>
      <c r="L4" s="3">
        <f t="shared" si="0"/>
        <v>0</v>
      </c>
    </row>
    <row r="5" spans="1:12" x14ac:dyDescent="0.25">
      <c r="A5" s="1">
        <v>46204</v>
      </c>
      <c r="B5" t="s">
        <v>14</v>
      </c>
      <c r="C5" t="s">
        <v>15</v>
      </c>
      <c r="D5" t="s">
        <v>16</v>
      </c>
      <c r="E5" s="2">
        <v>1.5340277777777778</v>
      </c>
      <c r="F5" s="2">
        <v>1.6208333333333333</v>
      </c>
      <c r="G5" s="3">
        <v>2.0833330000000001</v>
      </c>
      <c r="H5" t="s">
        <v>19</v>
      </c>
      <c r="J5" s="3">
        <f t="shared" si="1"/>
        <v>1.0833330000000001</v>
      </c>
      <c r="K5" s="3">
        <v>1</v>
      </c>
      <c r="L5" s="3">
        <f t="shared" si="0"/>
        <v>0</v>
      </c>
    </row>
    <row r="6" spans="1:12" x14ac:dyDescent="0.25">
      <c r="A6" s="1">
        <v>46204</v>
      </c>
      <c r="B6" t="s">
        <v>14</v>
      </c>
      <c r="C6" t="s">
        <v>15</v>
      </c>
      <c r="D6" t="s">
        <v>16</v>
      </c>
      <c r="E6" s="2">
        <v>1.6652777777777779</v>
      </c>
      <c r="F6" s="2">
        <v>1.7541666666666667</v>
      </c>
      <c r="G6" s="3">
        <v>2.1333329999999999</v>
      </c>
      <c r="H6" t="s">
        <v>20</v>
      </c>
      <c r="J6" s="3">
        <f t="shared" si="1"/>
        <v>0.53333299999999983</v>
      </c>
      <c r="K6" s="3">
        <v>1.6</v>
      </c>
      <c r="L6" s="3">
        <f t="shared" si="0"/>
        <v>0</v>
      </c>
    </row>
    <row r="7" spans="1:12" x14ac:dyDescent="0.25">
      <c r="A7" s="1">
        <v>46205</v>
      </c>
      <c r="B7" t="s">
        <v>14</v>
      </c>
      <c r="C7" t="s">
        <v>15</v>
      </c>
      <c r="D7" t="s">
        <v>16</v>
      </c>
      <c r="E7" s="2">
        <v>1.5305555555555554</v>
      </c>
      <c r="F7" s="2">
        <v>1.6194444444444445</v>
      </c>
      <c r="G7" s="3">
        <v>2.1333329999999999</v>
      </c>
      <c r="H7" t="s">
        <v>21</v>
      </c>
      <c r="J7" s="3">
        <f t="shared" si="1"/>
        <v>0.63333299999999992</v>
      </c>
      <c r="K7" s="3">
        <v>1.5</v>
      </c>
      <c r="L7" s="3">
        <f t="shared" si="0"/>
        <v>0</v>
      </c>
    </row>
    <row r="8" spans="1:12" x14ac:dyDescent="0.25">
      <c r="A8" s="1">
        <v>46205</v>
      </c>
      <c r="B8" t="s">
        <v>14</v>
      </c>
      <c r="C8" t="s">
        <v>15</v>
      </c>
      <c r="D8" t="s">
        <v>16</v>
      </c>
      <c r="E8" s="2">
        <v>1.6652777777777779</v>
      </c>
      <c r="F8" s="2">
        <v>1.7534722222222223</v>
      </c>
      <c r="G8" s="3">
        <v>2.1166659999999999</v>
      </c>
      <c r="H8" t="s">
        <v>22</v>
      </c>
      <c r="J8" s="3">
        <f t="shared" si="1"/>
        <v>0.71666600000000003</v>
      </c>
      <c r="K8" s="3">
        <v>1.4</v>
      </c>
      <c r="L8" s="3">
        <f t="shared" si="0"/>
        <v>0</v>
      </c>
    </row>
    <row r="9" spans="1:12" x14ac:dyDescent="0.25">
      <c r="A9" s="1">
        <v>46205</v>
      </c>
      <c r="B9" t="s">
        <v>14</v>
      </c>
      <c r="C9" t="s">
        <v>15</v>
      </c>
      <c r="D9" t="s">
        <v>16</v>
      </c>
      <c r="E9" s="2">
        <v>1.4402777777777778</v>
      </c>
      <c r="F9" s="2">
        <v>1.5305555555555554</v>
      </c>
      <c r="G9" s="3">
        <v>2.1666660000000002</v>
      </c>
      <c r="H9" t="s">
        <v>23</v>
      </c>
      <c r="J9" s="3">
        <f t="shared" si="1"/>
        <v>0.96666600000000025</v>
      </c>
      <c r="K9" s="3">
        <v>1.2</v>
      </c>
      <c r="L9" s="3">
        <f t="shared" si="0"/>
        <v>0</v>
      </c>
    </row>
    <row r="10" spans="1:12" x14ac:dyDescent="0.25">
      <c r="A10" s="1">
        <v>46205</v>
      </c>
      <c r="B10" t="s">
        <v>14</v>
      </c>
      <c r="C10" t="s">
        <v>15</v>
      </c>
      <c r="D10" t="s">
        <v>16</v>
      </c>
      <c r="E10" s="2">
        <v>1.7534722222222223</v>
      </c>
      <c r="F10" s="2">
        <v>1.8465277777777778</v>
      </c>
      <c r="G10" s="3">
        <v>2.233333</v>
      </c>
      <c r="H10" t="s">
        <v>24</v>
      </c>
      <c r="J10" s="3">
        <f t="shared" si="1"/>
        <v>0.63333299999999992</v>
      </c>
      <c r="K10" s="3">
        <v>1.6</v>
      </c>
      <c r="L10" s="3">
        <f t="shared" si="0"/>
        <v>0</v>
      </c>
    </row>
    <row r="11" spans="1:12" x14ac:dyDescent="0.25">
      <c r="A11" s="1">
        <v>46206</v>
      </c>
      <c r="B11" t="s">
        <v>14</v>
      </c>
      <c r="C11" t="s">
        <v>15</v>
      </c>
      <c r="D11" t="s">
        <v>16</v>
      </c>
      <c r="E11" s="2">
        <v>1.5659722222222223</v>
      </c>
      <c r="F11" s="2">
        <v>1.6541666666666668</v>
      </c>
      <c r="G11" s="3">
        <v>2.1166659999999999</v>
      </c>
      <c r="H11" t="s">
        <v>25</v>
      </c>
      <c r="J11" s="3">
        <f t="shared" si="1"/>
        <v>0.81666599999999989</v>
      </c>
      <c r="K11" s="3">
        <v>1.3</v>
      </c>
      <c r="L11" s="3">
        <f t="shared" si="0"/>
        <v>0</v>
      </c>
    </row>
    <row r="12" spans="1:12" x14ac:dyDescent="0.25">
      <c r="A12" s="1">
        <v>46206</v>
      </c>
      <c r="B12" t="s">
        <v>14</v>
      </c>
      <c r="C12" t="s">
        <v>15</v>
      </c>
      <c r="D12" t="s">
        <v>16</v>
      </c>
      <c r="E12" s="2">
        <v>1.7041666666666666</v>
      </c>
      <c r="F12" s="2">
        <v>1.7909722222222222</v>
      </c>
      <c r="G12" s="3">
        <v>2.0833330000000001</v>
      </c>
      <c r="H12" t="s">
        <v>26</v>
      </c>
      <c r="J12" s="3">
        <f t="shared" si="1"/>
        <v>0.88333300000000015</v>
      </c>
      <c r="K12" s="3">
        <v>1.2</v>
      </c>
      <c r="L12" s="3">
        <f t="shared" si="0"/>
        <v>0</v>
      </c>
    </row>
    <row r="13" spans="1:12" x14ac:dyDescent="0.25">
      <c r="A13" s="1">
        <v>46206</v>
      </c>
      <c r="B13" t="s">
        <v>14</v>
      </c>
      <c r="C13" t="s">
        <v>15</v>
      </c>
      <c r="D13" t="s">
        <v>16</v>
      </c>
      <c r="E13" s="2">
        <v>1.4756944444444444</v>
      </c>
      <c r="F13" s="2">
        <v>1.5659722222222223</v>
      </c>
      <c r="G13" s="3">
        <v>2.1666660000000002</v>
      </c>
      <c r="H13" t="s">
        <v>27</v>
      </c>
      <c r="J13" s="3">
        <f t="shared" si="1"/>
        <v>1.4666660000000002</v>
      </c>
      <c r="K13" s="3">
        <v>0.7</v>
      </c>
      <c r="L13" s="3">
        <f t="shared" si="0"/>
        <v>0</v>
      </c>
    </row>
    <row r="14" spans="1:12" x14ac:dyDescent="0.25">
      <c r="A14" s="1">
        <v>46206</v>
      </c>
      <c r="B14" t="s">
        <v>14</v>
      </c>
      <c r="C14" t="s">
        <v>15</v>
      </c>
      <c r="D14" t="s">
        <v>16</v>
      </c>
      <c r="E14" s="2">
        <v>1.7909722222222222</v>
      </c>
      <c r="F14" s="2">
        <v>1.8791666666666667</v>
      </c>
      <c r="G14" s="3">
        <v>2.1166659999999999</v>
      </c>
      <c r="H14" t="s">
        <v>28</v>
      </c>
      <c r="J14" s="3">
        <f t="shared" si="1"/>
        <v>1.416666</v>
      </c>
      <c r="K14" s="3">
        <v>0.7</v>
      </c>
      <c r="L14" s="3">
        <f t="shared" si="0"/>
        <v>0</v>
      </c>
    </row>
    <row r="15" spans="1:12" x14ac:dyDescent="0.25">
      <c r="A15" s="1">
        <v>46209</v>
      </c>
      <c r="B15" t="s">
        <v>14</v>
      </c>
      <c r="C15" t="s">
        <v>15</v>
      </c>
      <c r="D15" t="s">
        <v>29</v>
      </c>
      <c r="E15" s="2">
        <v>1.5638888888888889</v>
      </c>
      <c r="F15" s="2">
        <v>1.6548611111111111</v>
      </c>
      <c r="G15" s="3">
        <v>2.1833330000000002</v>
      </c>
      <c r="H15" t="s">
        <v>30</v>
      </c>
      <c r="J15" s="3">
        <f t="shared" si="1"/>
        <v>0.78333300000000028</v>
      </c>
      <c r="K15" s="3">
        <v>1.4</v>
      </c>
      <c r="L15" s="3">
        <f t="shared" si="0"/>
        <v>0</v>
      </c>
    </row>
    <row r="16" spans="1:12" x14ac:dyDescent="0.25">
      <c r="A16" s="1">
        <v>46209</v>
      </c>
      <c r="B16" t="s">
        <v>14</v>
      </c>
      <c r="C16" t="s">
        <v>15</v>
      </c>
      <c r="D16" t="s">
        <v>29</v>
      </c>
      <c r="E16" s="2">
        <v>1.7041666666666666</v>
      </c>
      <c r="F16" s="2">
        <v>1.7902777777777779</v>
      </c>
      <c r="G16" s="3">
        <v>2.0666660000000001</v>
      </c>
      <c r="H16" t="s">
        <v>31</v>
      </c>
      <c r="J16" s="3">
        <f t="shared" si="1"/>
        <v>0.56666600000000011</v>
      </c>
      <c r="K16" s="3">
        <v>1.5</v>
      </c>
      <c r="L16" s="3">
        <f t="shared" si="0"/>
        <v>0</v>
      </c>
    </row>
    <row r="17" spans="1:12" x14ac:dyDescent="0.25">
      <c r="A17" s="1">
        <v>46209</v>
      </c>
      <c r="B17" t="s">
        <v>14</v>
      </c>
      <c r="C17" t="s">
        <v>15</v>
      </c>
      <c r="D17" t="s">
        <v>29</v>
      </c>
      <c r="E17" s="2">
        <v>1.7902777777777779</v>
      </c>
      <c r="F17" s="2">
        <v>1.8847222222222222</v>
      </c>
      <c r="G17" s="3">
        <v>2.2666659999999998</v>
      </c>
      <c r="H17" t="s">
        <v>32</v>
      </c>
      <c r="J17" s="3">
        <f t="shared" si="1"/>
        <v>0.86666599999999994</v>
      </c>
      <c r="K17" s="3">
        <v>1.4</v>
      </c>
      <c r="L17" s="3">
        <f t="shared" si="0"/>
        <v>0</v>
      </c>
    </row>
    <row r="18" spans="1:12" x14ac:dyDescent="0.25">
      <c r="A18" s="1">
        <v>46209</v>
      </c>
      <c r="B18" t="s">
        <v>14</v>
      </c>
      <c r="C18" t="s">
        <v>15</v>
      </c>
      <c r="D18" t="s">
        <v>29</v>
      </c>
      <c r="E18" s="2">
        <v>1.4756944444444444</v>
      </c>
      <c r="F18" s="2">
        <v>1.5638888888888889</v>
      </c>
      <c r="G18" s="3">
        <v>2.1166659999999999</v>
      </c>
      <c r="H18" t="s">
        <v>33</v>
      </c>
      <c r="J18" s="3">
        <f t="shared" si="1"/>
        <v>1.3166659999999999</v>
      </c>
      <c r="K18" s="3">
        <v>0.8</v>
      </c>
      <c r="L18" s="3">
        <f t="shared" si="0"/>
        <v>0</v>
      </c>
    </row>
    <row r="19" spans="1:12" x14ac:dyDescent="0.25">
      <c r="A19" s="1">
        <v>46209</v>
      </c>
      <c r="B19" t="s">
        <v>9</v>
      </c>
      <c r="C19" t="s">
        <v>10</v>
      </c>
      <c r="D19" t="s">
        <v>34</v>
      </c>
      <c r="E19" s="2">
        <v>1.6895833333333332</v>
      </c>
      <c r="F19" s="2">
        <v>1.7284722222222222</v>
      </c>
      <c r="G19" s="3">
        <v>0.93333299999999997</v>
      </c>
      <c r="H19" t="s">
        <v>35</v>
      </c>
      <c r="I19" t="s">
        <v>13</v>
      </c>
      <c r="L19" s="3">
        <f t="shared" si="0"/>
        <v>0.93333299999999997</v>
      </c>
    </row>
    <row r="20" spans="1:12" x14ac:dyDescent="0.25">
      <c r="A20" s="1">
        <v>46209</v>
      </c>
      <c r="B20" t="s">
        <v>9</v>
      </c>
      <c r="C20" t="s">
        <v>10</v>
      </c>
      <c r="D20" t="s">
        <v>34</v>
      </c>
      <c r="E20" s="2">
        <v>1.7284722222222222</v>
      </c>
      <c r="F20" s="2">
        <v>1.7729166666666667</v>
      </c>
      <c r="G20" s="3">
        <v>1.0666659999999999</v>
      </c>
      <c r="H20" t="s">
        <v>36</v>
      </c>
      <c r="I20" t="s">
        <v>13</v>
      </c>
      <c r="L20" s="3">
        <f t="shared" si="0"/>
        <v>1.0666659999999999</v>
      </c>
    </row>
    <row r="21" spans="1:12" x14ac:dyDescent="0.25">
      <c r="A21" s="1">
        <v>46209</v>
      </c>
      <c r="B21" t="s">
        <v>9</v>
      </c>
      <c r="C21" t="s">
        <v>10</v>
      </c>
      <c r="D21" t="s">
        <v>34</v>
      </c>
      <c r="E21" s="2">
        <v>1.8368055555555556</v>
      </c>
      <c r="F21" s="2">
        <v>1.8902777777777777</v>
      </c>
      <c r="G21" s="3">
        <v>1.2833330000000001</v>
      </c>
      <c r="H21" t="s">
        <v>36</v>
      </c>
      <c r="I21" t="s">
        <v>13</v>
      </c>
      <c r="L21" s="3">
        <f t="shared" si="0"/>
        <v>1.2833330000000001</v>
      </c>
    </row>
    <row r="22" spans="1:12" x14ac:dyDescent="0.25">
      <c r="A22" s="1">
        <v>46210</v>
      </c>
      <c r="B22" t="s">
        <v>9</v>
      </c>
      <c r="C22" t="s">
        <v>10</v>
      </c>
      <c r="D22" t="s">
        <v>34</v>
      </c>
      <c r="E22" s="2">
        <v>1.7486111111111111</v>
      </c>
      <c r="F22" s="2">
        <v>1.7708333333333335</v>
      </c>
      <c r="G22" s="3">
        <v>0.53333299999999995</v>
      </c>
      <c r="H22" t="s">
        <v>37</v>
      </c>
      <c r="I22" t="s">
        <v>13</v>
      </c>
      <c r="L22" s="3">
        <f t="shared" si="0"/>
        <v>0.53333299999999995</v>
      </c>
    </row>
    <row r="23" spans="1:12" x14ac:dyDescent="0.25">
      <c r="A23" s="1">
        <v>46210</v>
      </c>
      <c r="B23" t="s">
        <v>9</v>
      </c>
      <c r="C23" t="s">
        <v>10</v>
      </c>
      <c r="D23" t="s">
        <v>34</v>
      </c>
      <c r="E23" s="2">
        <v>1.8631944444444444</v>
      </c>
      <c r="F23" s="2">
        <v>1.9083333333333332</v>
      </c>
      <c r="G23" s="3">
        <v>1.0833330000000001</v>
      </c>
      <c r="H23" t="s">
        <v>38</v>
      </c>
      <c r="I23" t="s">
        <v>13</v>
      </c>
      <c r="L23" s="3">
        <f t="shared" si="0"/>
        <v>1.0833330000000001</v>
      </c>
    </row>
    <row r="24" spans="1:12" x14ac:dyDescent="0.25">
      <c r="A24" s="1">
        <v>46210</v>
      </c>
      <c r="B24" t="s">
        <v>9</v>
      </c>
      <c r="C24" t="s">
        <v>10</v>
      </c>
      <c r="D24" t="s">
        <v>34</v>
      </c>
      <c r="E24" s="2">
        <v>1.9083333333333332</v>
      </c>
      <c r="F24" s="2">
        <v>1.9520833333333334</v>
      </c>
      <c r="G24" s="3">
        <v>1.05</v>
      </c>
      <c r="H24" t="s">
        <v>39</v>
      </c>
      <c r="I24" t="s">
        <v>13</v>
      </c>
      <c r="L24" s="3">
        <f t="shared" si="0"/>
        <v>1.05</v>
      </c>
    </row>
    <row r="25" spans="1:12" x14ac:dyDescent="0.25">
      <c r="A25" s="1">
        <v>46210</v>
      </c>
      <c r="B25" t="s">
        <v>9</v>
      </c>
      <c r="C25" t="s">
        <v>10</v>
      </c>
      <c r="D25" t="s">
        <v>34</v>
      </c>
      <c r="E25" s="2">
        <v>1.9520833333333334</v>
      </c>
      <c r="F25" s="2">
        <v>1.9993055555555554</v>
      </c>
      <c r="G25" s="3">
        <v>1.1333329999999999</v>
      </c>
      <c r="H25" t="s">
        <v>39</v>
      </c>
      <c r="I25" t="s">
        <v>13</v>
      </c>
      <c r="L25" s="3">
        <f t="shared" si="0"/>
        <v>1.1333329999999999</v>
      </c>
    </row>
    <row r="26" spans="1:12" x14ac:dyDescent="0.25">
      <c r="A26" s="1">
        <v>46210</v>
      </c>
      <c r="B26" t="s">
        <v>14</v>
      </c>
      <c r="C26" t="s">
        <v>15</v>
      </c>
      <c r="D26" t="s">
        <v>29</v>
      </c>
      <c r="E26" s="2">
        <v>1.5236111111111112</v>
      </c>
      <c r="F26" s="2">
        <v>1.6125</v>
      </c>
      <c r="G26" s="3">
        <v>2.1333329999999999</v>
      </c>
      <c r="H26" t="s">
        <v>40</v>
      </c>
      <c r="J26" s="3">
        <f t="shared" si="1"/>
        <v>1.433333</v>
      </c>
      <c r="K26" s="3">
        <v>0.7</v>
      </c>
      <c r="L26" s="3">
        <f t="shared" si="0"/>
        <v>0</v>
      </c>
    </row>
    <row r="27" spans="1:12" x14ac:dyDescent="0.25">
      <c r="A27" s="1">
        <v>46210</v>
      </c>
      <c r="B27" t="s">
        <v>14</v>
      </c>
      <c r="C27" t="s">
        <v>15</v>
      </c>
      <c r="D27" t="s">
        <v>29</v>
      </c>
      <c r="E27" s="2">
        <v>1.6645833333333333</v>
      </c>
      <c r="F27" s="2">
        <v>1.754861111111111</v>
      </c>
      <c r="G27" s="3">
        <v>2.1666660000000002</v>
      </c>
      <c r="H27" t="s">
        <v>41</v>
      </c>
      <c r="J27" s="3">
        <f t="shared" si="1"/>
        <v>1.2666660000000003</v>
      </c>
      <c r="K27" s="3">
        <v>0.9</v>
      </c>
      <c r="L27" s="3">
        <f t="shared" si="0"/>
        <v>0</v>
      </c>
    </row>
    <row r="28" spans="1:12" x14ac:dyDescent="0.25">
      <c r="A28" s="1">
        <v>46210</v>
      </c>
      <c r="B28" t="s">
        <v>14</v>
      </c>
      <c r="C28" t="s">
        <v>15</v>
      </c>
      <c r="D28" t="s">
        <v>29</v>
      </c>
      <c r="E28" s="2">
        <v>1.4319444444444445</v>
      </c>
      <c r="F28" s="2">
        <v>1.5236111111111112</v>
      </c>
      <c r="G28" s="3">
        <v>2.2000000000000002</v>
      </c>
      <c r="H28" t="s">
        <v>42</v>
      </c>
      <c r="J28" s="3">
        <f t="shared" si="1"/>
        <v>0.90000000000000013</v>
      </c>
      <c r="K28" s="3">
        <v>1.3</v>
      </c>
      <c r="L28" s="3">
        <f t="shared" si="0"/>
        <v>0</v>
      </c>
    </row>
    <row r="29" spans="1:12" x14ac:dyDescent="0.25">
      <c r="A29" s="1">
        <v>46210</v>
      </c>
      <c r="B29" t="s">
        <v>14</v>
      </c>
      <c r="C29" t="s">
        <v>15</v>
      </c>
      <c r="D29" t="s">
        <v>29</v>
      </c>
      <c r="E29" s="2">
        <v>1.754861111111111</v>
      </c>
      <c r="F29" s="2">
        <v>1.8402777777777777</v>
      </c>
      <c r="G29" s="3">
        <v>2.0499999999999998</v>
      </c>
      <c r="H29" t="s">
        <v>43</v>
      </c>
      <c r="J29" s="3">
        <f t="shared" si="1"/>
        <v>1.3499999999999999</v>
      </c>
      <c r="K29" s="3">
        <v>0.7</v>
      </c>
      <c r="L29" s="3">
        <f t="shared" si="0"/>
        <v>0</v>
      </c>
    </row>
    <row r="30" spans="1:12" x14ac:dyDescent="0.25">
      <c r="A30" s="1">
        <v>46211</v>
      </c>
      <c r="B30" t="s">
        <v>9</v>
      </c>
      <c r="C30" t="s">
        <v>10</v>
      </c>
      <c r="D30" t="s">
        <v>34</v>
      </c>
      <c r="E30" s="2">
        <v>1.4673611111111111</v>
      </c>
      <c r="F30" s="2">
        <v>1.4944444444444445</v>
      </c>
      <c r="G30" s="3">
        <v>0.65</v>
      </c>
      <c r="H30" t="s">
        <v>44</v>
      </c>
      <c r="J30" s="3">
        <f t="shared" si="1"/>
        <v>0.65</v>
      </c>
      <c r="L30" s="3">
        <f t="shared" si="0"/>
        <v>0</v>
      </c>
    </row>
    <row r="31" spans="1:12" x14ac:dyDescent="0.25">
      <c r="A31" s="1">
        <v>46211</v>
      </c>
      <c r="B31" t="s">
        <v>14</v>
      </c>
      <c r="C31" t="s">
        <v>15</v>
      </c>
      <c r="D31" t="s">
        <v>29</v>
      </c>
      <c r="E31" s="2">
        <v>1.7395833333333335</v>
      </c>
      <c r="F31" s="2">
        <v>1.8305555555555557</v>
      </c>
      <c r="G31" s="3">
        <v>2.1833330000000002</v>
      </c>
      <c r="H31" t="s">
        <v>45</v>
      </c>
      <c r="J31" s="3">
        <f t="shared" si="1"/>
        <v>1.3833330000000001</v>
      </c>
      <c r="K31" s="3">
        <v>0.8</v>
      </c>
      <c r="L31" s="3">
        <f t="shared" si="0"/>
        <v>0</v>
      </c>
    </row>
    <row r="32" spans="1:12" x14ac:dyDescent="0.25">
      <c r="A32" s="1">
        <v>46211</v>
      </c>
      <c r="B32" t="s">
        <v>9</v>
      </c>
      <c r="C32" t="s">
        <v>10</v>
      </c>
      <c r="D32" t="s">
        <v>34</v>
      </c>
      <c r="E32" s="2">
        <v>1.0111111111111111</v>
      </c>
      <c r="F32" s="2">
        <v>1.0520833333333333</v>
      </c>
      <c r="G32" s="3">
        <v>0.98333300000000001</v>
      </c>
      <c r="H32" t="s">
        <v>39</v>
      </c>
      <c r="I32" t="s">
        <v>13</v>
      </c>
      <c r="L32" s="3">
        <f t="shared" si="0"/>
        <v>0.98333300000000001</v>
      </c>
    </row>
    <row r="33" spans="1:12" x14ac:dyDescent="0.25">
      <c r="A33" s="1">
        <v>46211</v>
      </c>
      <c r="B33" t="s">
        <v>14</v>
      </c>
      <c r="C33" t="s">
        <v>15</v>
      </c>
      <c r="D33" t="s">
        <v>29</v>
      </c>
      <c r="E33" s="2">
        <v>1.5131944444444443</v>
      </c>
      <c r="F33" s="2">
        <v>1.6006944444444444</v>
      </c>
      <c r="G33" s="3">
        <v>2.1</v>
      </c>
      <c r="H33" t="s">
        <v>46</v>
      </c>
      <c r="J33" s="3">
        <f t="shared" si="1"/>
        <v>0.8</v>
      </c>
      <c r="K33" s="3">
        <v>1.3</v>
      </c>
      <c r="L33" s="3">
        <f t="shared" si="0"/>
        <v>0</v>
      </c>
    </row>
    <row r="34" spans="1:12" x14ac:dyDescent="0.25">
      <c r="A34" s="1">
        <v>46211</v>
      </c>
      <c r="B34" t="s">
        <v>14</v>
      </c>
      <c r="C34" t="s">
        <v>15</v>
      </c>
      <c r="D34" t="s">
        <v>29</v>
      </c>
      <c r="E34" s="2">
        <v>1.6520833333333333</v>
      </c>
      <c r="F34" s="2">
        <v>1.7395833333333335</v>
      </c>
      <c r="G34" s="3">
        <v>2.1</v>
      </c>
      <c r="H34" t="s">
        <v>47</v>
      </c>
      <c r="J34" s="3">
        <f t="shared" si="1"/>
        <v>0.8</v>
      </c>
      <c r="K34" s="3">
        <v>1.3</v>
      </c>
      <c r="L34" s="3">
        <f t="shared" ref="L34:L65" si="2">IF(I34="New",G34,0)</f>
        <v>0</v>
      </c>
    </row>
    <row r="35" spans="1:12" x14ac:dyDescent="0.25">
      <c r="A35" s="1">
        <v>46211</v>
      </c>
      <c r="B35" t="s">
        <v>14</v>
      </c>
      <c r="C35" t="s">
        <v>15</v>
      </c>
      <c r="D35" t="s">
        <v>29</v>
      </c>
      <c r="E35" s="2">
        <v>1.4236111111111112</v>
      </c>
      <c r="F35" s="2">
        <v>1.5131944444444443</v>
      </c>
      <c r="G35" s="3">
        <v>2.15</v>
      </c>
      <c r="H35" t="s">
        <v>48</v>
      </c>
      <c r="J35" s="3">
        <f t="shared" si="1"/>
        <v>0.54999999999999982</v>
      </c>
      <c r="K35" s="3">
        <v>1.6</v>
      </c>
      <c r="L35" s="3">
        <f t="shared" si="2"/>
        <v>0</v>
      </c>
    </row>
    <row r="36" spans="1:12" x14ac:dyDescent="0.25">
      <c r="A36" s="1">
        <v>46211</v>
      </c>
      <c r="B36" t="s">
        <v>9</v>
      </c>
      <c r="C36" t="s">
        <v>10</v>
      </c>
      <c r="D36" t="s">
        <v>34</v>
      </c>
      <c r="E36" s="2">
        <v>1.5611111111111111</v>
      </c>
      <c r="F36" s="2">
        <v>1.6486111111111112</v>
      </c>
      <c r="G36" s="3">
        <v>2.1</v>
      </c>
      <c r="H36" t="s">
        <v>49</v>
      </c>
      <c r="I36" t="s">
        <v>13</v>
      </c>
      <c r="L36" s="3">
        <f t="shared" si="2"/>
        <v>2.1</v>
      </c>
    </row>
    <row r="37" spans="1:12" x14ac:dyDescent="0.25">
      <c r="A37" s="1">
        <v>46211</v>
      </c>
      <c r="B37" t="s">
        <v>9</v>
      </c>
      <c r="C37" t="s">
        <v>10</v>
      </c>
      <c r="D37" t="s">
        <v>34</v>
      </c>
      <c r="E37" s="2">
        <v>1.7805555555555554</v>
      </c>
      <c r="F37" s="2">
        <v>1.8034722222222221</v>
      </c>
      <c r="G37" s="3">
        <v>0.55000000000000004</v>
      </c>
      <c r="H37" t="s">
        <v>50</v>
      </c>
      <c r="I37" t="s">
        <v>13</v>
      </c>
      <c r="L37" s="3">
        <f t="shared" si="2"/>
        <v>0.55000000000000004</v>
      </c>
    </row>
    <row r="38" spans="1:12" x14ac:dyDescent="0.25">
      <c r="A38" s="1">
        <v>46211</v>
      </c>
      <c r="B38" t="s">
        <v>9</v>
      </c>
      <c r="C38" t="s">
        <v>10</v>
      </c>
      <c r="D38" t="s">
        <v>34</v>
      </c>
      <c r="E38" s="2">
        <v>1.8958333333333335</v>
      </c>
      <c r="F38" s="2">
        <v>1.9166666666666665</v>
      </c>
      <c r="G38" s="3">
        <v>0.5</v>
      </c>
      <c r="H38" t="s">
        <v>51</v>
      </c>
      <c r="J38" s="3">
        <f t="shared" si="1"/>
        <v>0.5</v>
      </c>
      <c r="L38" s="3">
        <f t="shared" si="2"/>
        <v>0</v>
      </c>
    </row>
    <row r="39" spans="1:12" x14ac:dyDescent="0.25">
      <c r="A39" s="1">
        <v>46212</v>
      </c>
      <c r="B39" t="s">
        <v>14</v>
      </c>
      <c r="C39" t="s">
        <v>15</v>
      </c>
      <c r="D39" t="s">
        <v>29</v>
      </c>
      <c r="E39" s="2">
        <v>1.6715277777777777</v>
      </c>
      <c r="F39" s="2">
        <v>1.7590277777777779</v>
      </c>
      <c r="G39" s="3">
        <v>2.1</v>
      </c>
      <c r="H39" t="s">
        <v>52</v>
      </c>
      <c r="J39" s="3">
        <f t="shared" si="1"/>
        <v>1</v>
      </c>
      <c r="K39" s="3">
        <v>1.1000000000000001</v>
      </c>
      <c r="L39" s="3">
        <f t="shared" si="2"/>
        <v>0</v>
      </c>
    </row>
    <row r="40" spans="1:12" x14ac:dyDescent="0.25">
      <c r="A40" s="1">
        <v>46212</v>
      </c>
      <c r="B40" t="s">
        <v>9</v>
      </c>
      <c r="C40" t="s">
        <v>10</v>
      </c>
      <c r="D40" t="s">
        <v>34</v>
      </c>
      <c r="E40" s="2">
        <v>1.1152777777777778</v>
      </c>
      <c r="F40" s="2">
        <v>1.1645833333333333</v>
      </c>
      <c r="G40" s="3">
        <v>1.183333</v>
      </c>
      <c r="H40" t="s">
        <v>53</v>
      </c>
      <c r="J40" s="3">
        <f t="shared" si="1"/>
        <v>1.183333</v>
      </c>
      <c r="L40" s="3">
        <f t="shared" si="2"/>
        <v>0</v>
      </c>
    </row>
    <row r="41" spans="1:12" x14ac:dyDescent="0.25">
      <c r="A41" s="1">
        <v>46212</v>
      </c>
      <c r="B41" t="s">
        <v>9</v>
      </c>
      <c r="C41" t="s">
        <v>10</v>
      </c>
      <c r="D41" t="s">
        <v>34</v>
      </c>
      <c r="E41" s="2">
        <v>1.101388888888889</v>
      </c>
      <c r="F41" s="2">
        <v>1.1152777777777778</v>
      </c>
      <c r="G41" s="3">
        <v>0.33333299999999999</v>
      </c>
      <c r="H41" t="s">
        <v>54</v>
      </c>
      <c r="J41" s="3">
        <v>0.33333299999999999</v>
      </c>
      <c r="L41" s="3">
        <f t="shared" si="2"/>
        <v>0</v>
      </c>
    </row>
    <row r="42" spans="1:12" x14ac:dyDescent="0.25">
      <c r="A42" s="1">
        <v>46212</v>
      </c>
      <c r="B42" t="s">
        <v>9</v>
      </c>
      <c r="C42" t="s">
        <v>10</v>
      </c>
      <c r="D42" t="s">
        <v>34</v>
      </c>
      <c r="E42" s="2">
        <v>1.6069444444444443</v>
      </c>
      <c r="F42" s="2">
        <v>1.64375</v>
      </c>
      <c r="G42" s="3">
        <v>0.88333300000000003</v>
      </c>
      <c r="H42" t="s">
        <v>55</v>
      </c>
      <c r="J42" s="3">
        <f t="shared" si="1"/>
        <v>0.88333300000000003</v>
      </c>
      <c r="L42" s="3">
        <f t="shared" si="2"/>
        <v>0</v>
      </c>
    </row>
    <row r="43" spans="1:12" x14ac:dyDescent="0.25">
      <c r="A43" s="1">
        <v>46212</v>
      </c>
      <c r="B43" t="s">
        <v>14</v>
      </c>
      <c r="C43" t="s">
        <v>15</v>
      </c>
      <c r="D43" t="s">
        <v>29</v>
      </c>
      <c r="E43" s="2">
        <v>1.5784722222222223</v>
      </c>
      <c r="F43" s="2">
        <v>1.6715277777777777</v>
      </c>
      <c r="G43" s="3">
        <v>2.233333</v>
      </c>
      <c r="H43" t="s">
        <v>56</v>
      </c>
      <c r="J43" s="3">
        <f t="shared" si="1"/>
        <v>1.0333330000000001</v>
      </c>
      <c r="K43" s="3">
        <v>1.2</v>
      </c>
      <c r="L43" s="3">
        <f t="shared" si="2"/>
        <v>0</v>
      </c>
    </row>
    <row r="44" spans="1:12" x14ac:dyDescent="0.25">
      <c r="A44" s="1">
        <v>46212</v>
      </c>
      <c r="B44" t="s">
        <v>9</v>
      </c>
      <c r="C44" t="s">
        <v>10</v>
      </c>
      <c r="D44" t="s">
        <v>34</v>
      </c>
      <c r="E44" s="2">
        <v>1.6777777777777778</v>
      </c>
      <c r="F44" s="2">
        <v>1.7402777777777778</v>
      </c>
      <c r="G44" s="3">
        <v>1.5</v>
      </c>
      <c r="H44" t="s">
        <v>57</v>
      </c>
      <c r="J44" s="3">
        <f t="shared" si="1"/>
        <v>1.5</v>
      </c>
      <c r="L44" s="3">
        <f t="shared" si="2"/>
        <v>0</v>
      </c>
    </row>
    <row r="45" spans="1:12" x14ac:dyDescent="0.25">
      <c r="A45" s="1">
        <v>46213</v>
      </c>
      <c r="B45" t="s">
        <v>9</v>
      </c>
      <c r="C45" t="s">
        <v>10</v>
      </c>
      <c r="D45" t="s">
        <v>34</v>
      </c>
      <c r="E45" s="2">
        <v>1</v>
      </c>
      <c r="F45" s="2">
        <v>1.05</v>
      </c>
      <c r="G45" s="3">
        <v>1.2</v>
      </c>
      <c r="H45" t="s">
        <v>58</v>
      </c>
      <c r="I45" t="s">
        <v>13</v>
      </c>
      <c r="L45" s="3">
        <f t="shared" si="2"/>
        <v>1.2</v>
      </c>
    </row>
    <row r="46" spans="1:12" x14ac:dyDescent="0.25">
      <c r="A46" s="1">
        <v>46213</v>
      </c>
      <c r="B46" t="s">
        <v>9</v>
      </c>
      <c r="C46" t="s">
        <v>10</v>
      </c>
      <c r="D46" t="s">
        <v>34</v>
      </c>
      <c r="E46" s="2">
        <v>1.05</v>
      </c>
      <c r="F46" s="2">
        <v>1.1034722222222222</v>
      </c>
      <c r="G46" s="3">
        <v>1.2833330000000001</v>
      </c>
      <c r="H46" t="s">
        <v>59</v>
      </c>
      <c r="I46" t="s">
        <v>13</v>
      </c>
      <c r="L46" s="3">
        <f t="shared" si="2"/>
        <v>1.2833330000000001</v>
      </c>
    </row>
    <row r="47" spans="1:12" x14ac:dyDescent="0.25">
      <c r="A47" s="1">
        <v>46214</v>
      </c>
      <c r="B47" t="s">
        <v>9</v>
      </c>
      <c r="C47" t="s">
        <v>10</v>
      </c>
      <c r="D47" t="s">
        <v>34</v>
      </c>
      <c r="E47" s="2">
        <v>1.5840277777777778</v>
      </c>
      <c r="F47" s="2">
        <v>1.6659722222222222</v>
      </c>
      <c r="G47" s="3">
        <v>1.966666</v>
      </c>
      <c r="H47" t="s">
        <v>60</v>
      </c>
      <c r="I47" t="s">
        <v>13</v>
      </c>
      <c r="L47" s="3">
        <f t="shared" si="2"/>
        <v>1.966666</v>
      </c>
    </row>
    <row r="48" spans="1:12" x14ac:dyDescent="0.25">
      <c r="A48" s="1">
        <v>46214</v>
      </c>
      <c r="B48" t="s">
        <v>9</v>
      </c>
      <c r="C48" t="s">
        <v>10</v>
      </c>
      <c r="D48" t="s">
        <v>34</v>
      </c>
      <c r="E48" s="2">
        <v>1.7395833333333335</v>
      </c>
      <c r="F48" s="2">
        <v>1.7743055555555556</v>
      </c>
      <c r="G48" s="3">
        <v>0.83333299999999999</v>
      </c>
      <c r="H48" t="s">
        <v>61</v>
      </c>
      <c r="I48" t="s">
        <v>13</v>
      </c>
      <c r="L48" s="3">
        <f t="shared" si="2"/>
        <v>0.83333299999999999</v>
      </c>
    </row>
    <row r="49" spans="1:12" x14ac:dyDescent="0.25">
      <c r="A49" s="1">
        <v>46214</v>
      </c>
      <c r="B49" t="s">
        <v>9</v>
      </c>
      <c r="C49" t="s">
        <v>10</v>
      </c>
      <c r="D49" t="s">
        <v>34</v>
      </c>
      <c r="E49" s="2">
        <v>1.875</v>
      </c>
      <c r="F49" s="2">
        <v>1.9659722222222222</v>
      </c>
      <c r="G49" s="3">
        <v>2.1833330000000002</v>
      </c>
      <c r="H49" t="s">
        <v>62</v>
      </c>
      <c r="I49" t="s">
        <v>13</v>
      </c>
      <c r="L49" s="3">
        <f t="shared" si="2"/>
        <v>2.1833330000000002</v>
      </c>
    </row>
    <row r="50" spans="1:12" x14ac:dyDescent="0.25">
      <c r="A50" s="1">
        <v>46216</v>
      </c>
      <c r="B50" t="s">
        <v>9</v>
      </c>
      <c r="C50" t="s">
        <v>15</v>
      </c>
      <c r="D50" t="s">
        <v>29</v>
      </c>
      <c r="E50" s="2">
        <v>1.7347222222222223</v>
      </c>
      <c r="F50" s="2">
        <v>1.7888888888888888</v>
      </c>
      <c r="G50" s="3">
        <v>1.3</v>
      </c>
      <c r="H50" t="s">
        <v>63</v>
      </c>
      <c r="J50" s="3">
        <f t="shared" si="1"/>
        <v>0.5</v>
      </c>
      <c r="K50" s="3">
        <v>0.8</v>
      </c>
      <c r="L50" s="3">
        <f t="shared" si="2"/>
        <v>0</v>
      </c>
    </row>
    <row r="51" spans="1:12" x14ac:dyDescent="0.25">
      <c r="A51" s="1">
        <v>46216</v>
      </c>
      <c r="B51" t="s">
        <v>9</v>
      </c>
      <c r="C51" t="s">
        <v>15</v>
      </c>
      <c r="D51" t="s">
        <v>29</v>
      </c>
      <c r="E51" s="2">
        <v>1.7888888888888888</v>
      </c>
      <c r="F51" s="2">
        <v>1.8243055555555556</v>
      </c>
      <c r="G51" s="3">
        <v>0.85</v>
      </c>
      <c r="H51" t="s">
        <v>64</v>
      </c>
      <c r="J51" s="3">
        <v>0.85</v>
      </c>
      <c r="L51" s="3">
        <f t="shared" si="2"/>
        <v>0</v>
      </c>
    </row>
    <row r="52" spans="1:12" x14ac:dyDescent="0.25">
      <c r="A52" s="1">
        <v>46216</v>
      </c>
      <c r="B52" t="s">
        <v>65</v>
      </c>
      <c r="C52" t="s">
        <v>15</v>
      </c>
      <c r="D52" t="s">
        <v>29</v>
      </c>
      <c r="E52" s="2">
        <v>1.59375</v>
      </c>
      <c r="F52" s="2">
        <v>1.6458333333333335</v>
      </c>
      <c r="G52" s="3">
        <v>1.25</v>
      </c>
      <c r="H52" t="s">
        <v>66</v>
      </c>
      <c r="J52" s="3">
        <f t="shared" si="1"/>
        <v>0.55000000000000004</v>
      </c>
      <c r="K52" s="3">
        <v>0.7</v>
      </c>
      <c r="L52" s="3">
        <f t="shared" si="2"/>
        <v>0</v>
      </c>
    </row>
    <row r="53" spans="1:12" x14ac:dyDescent="0.25">
      <c r="A53" s="1">
        <v>46216</v>
      </c>
      <c r="B53" t="s">
        <v>14</v>
      </c>
      <c r="C53" t="s">
        <v>15</v>
      </c>
      <c r="D53" t="s">
        <v>29</v>
      </c>
      <c r="E53" s="2">
        <v>1.7375</v>
      </c>
      <c r="F53" s="2">
        <v>1.8270833333333334</v>
      </c>
      <c r="G53" s="3">
        <v>2.15</v>
      </c>
      <c r="H53" t="s">
        <v>67</v>
      </c>
      <c r="J53" s="3">
        <f t="shared" si="1"/>
        <v>1.0499999999999998</v>
      </c>
      <c r="K53" s="3">
        <v>1.1000000000000001</v>
      </c>
      <c r="L53" s="3">
        <f t="shared" si="2"/>
        <v>0</v>
      </c>
    </row>
    <row r="54" spans="1:12" x14ac:dyDescent="0.25">
      <c r="A54" s="1">
        <v>46216</v>
      </c>
      <c r="B54" t="s">
        <v>9</v>
      </c>
      <c r="C54" t="s">
        <v>15</v>
      </c>
      <c r="D54" t="s">
        <v>29</v>
      </c>
      <c r="E54" s="2">
        <v>1.8409722222222222</v>
      </c>
      <c r="F54" s="2">
        <v>1.8659722222222221</v>
      </c>
      <c r="G54" s="3">
        <v>0.6</v>
      </c>
      <c r="H54" t="s">
        <v>68</v>
      </c>
      <c r="J54" s="3">
        <v>0.6</v>
      </c>
      <c r="L54" s="3">
        <f t="shared" si="2"/>
        <v>0</v>
      </c>
    </row>
    <row r="55" spans="1:12" x14ac:dyDescent="0.25">
      <c r="A55" s="1">
        <v>46216</v>
      </c>
      <c r="B55" t="s">
        <v>14</v>
      </c>
      <c r="C55" t="s">
        <v>15</v>
      </c>
      <c r="D55" t="s">
        <v>29</v>
      </c>
      <c r="E55" s="2">
        <v>1.6506944444444445</v>
      </c>
      <c r="F55" s="2">
        <v>1.7375</v>
      </c>
      <c r="G55" s="3">
        <v>2.0833330000000001</v>
      </c>
      <c r="H55" t="s">
        <v>69</v>
      </c>
      <c r="J55" s="3">
        <f t="shared" si="1"/>
        <v>1.0833330000000001</v>
      </c>
      <c r="K55" s="3">
        <v>1</v>
      </c>
      <c r="L55" s="3">
        <f t="shared" si="2"/>
        <v>0</v>
      </c>
    </row>
    <row r="56" spans="1:12" x14ac:dyDescent="0.25">
      <c r="A56" s="1">
        <v>46217</v>
      </c>
      <c r="B56" t="s">
        <v>9</v>
      </c>
      <c r="C56" t="s">
        <v>10</v>
      </c>
      <c r="D56" t="s">
        <v>34</v>
      </c>
      <c r="E56" s="2">
        <v>1.4451388888888888</v>
      </c>
      <c r="F56" s="2">
        <v>1.48125</v>
      </c>
      <c r="G56" s="3">
        <v>0.86666600000000005</v>
      </c>
      <c r="H56" t="s">
        <v>70</v>
      </c>
      <c r="I56" t="s">
        <v>13</v>
      </c>
      <c r="L56" s="3">
        <f t="shared" si="2"/>
        <v>0.86666600000000005</v>
      </c>
    </row>
    <row r="57" spans="1:12" x14ac:dyDescent="0.25">
      <c r="A57" s="1">
        <v>46217</v>
      </c>
      <c r="B57" t="s">
        <v>9</v>
      </c>
      <c r="C57" t="s">
        <v>10</v>
      </c>
      <c r="D57" t="s">
        <v>34</v>
      </c>
      <c r="E57" s="2">
        <v>1.5215277777777778</v>
      </c>
      <c r="F57" s="2">
        <v>1.5722222222222222</v>
      </c>
      <c r="G57" s="3">
        <v>1.216666</v>
      </c>
      <c r="H57" t="s">
        <v>71</v>
      </c>
      <c r="I57" t="s">
        <v>13</v>
      </c>
      <c r="L57" s="3">
        <f t="shared" si="2"/>
        <v>1.216666</v>
      </c>
    </row>
    <row r="58" spans="1:12" x14ac:dyDescent="0.25">
      <c r="A58" s="1">
        <v>46217</v>
      </c>
      <c r="B58" t="s">
        <v>9</v>
      </c>
      <c r="C58" t="s">
        <v>10</v>
      </c>
      <c r="D58" t="s">
        <v>34</v>
      </c>
      <c r="E58" s="2">
        <v>1.5722222222222222</v>
      </c>
      <c r="F58" s="2">
        <v>1.6263888888888889</v>
      </c>
      <c r="G58" s="3">
        <v>1.3</v>
      </c>
      <c r="H58" t="s">
        <v>71</v>
      </c>
      <c r="I58" t="s">
        <v>13</v>
      </c>
      <c r="L58" s="3">
        <f t="shared" si="2"/>
        <v>1.3</v>
      </c>
    </row>
    <row r="59" spans="1:12" x14ac:dyDescent="0.25">
      <c r="A59" s="1">
        <v>46217</v>
      </c>
      <c r="B59" t="s">
        <v>9</v>
      </c>
      <c r="C59" t="s">
        <v>10</v>
      </c>
      <c r="D59" t="s">
        <v>34</v>
      </c>
      <c r="E59" s="2">
        <v>1.6263888888888889</v>
      </c>
      <c r="F59" s="2">
        <v>1.6659722222222222</v>
      </c>
      <c r="G59" s="3">
        <v>0.95</v>
      </c>
      <c r="H59" t="s">
        <v>72</v>
      </c>
      <c r="I59" t="s">
        <v>13</v>
      </c>
      <c r="L59" s="3">
        <f t="shared" si="2"/>
        <v>0.95</v>
      </c>
    </row>
    <row r="60" spans="1:12" x14ac:dyDescent="0.25">
      <c r="A60" s="1">
        <v>46217</v>
      </c>
      <c r="B60" t="s">
        <v>14</v>
      </c>
      <c r="C60" t="s">
        <v>15</v>
      </c>
      <c r="D60" t="s">
        <v>29</v>
      </c>
      <c r="E60" s="2">
        <v>1.5222222222222221</v>
      </c>
      <c r="F60" s="2">
        <v>1.6069444444444443</v>
      </c>
      <c r="G60" s="3">
        <v>2.0333329999999998</v>
      </c>
      <c r="H60" t="s">
        <v>73</v>
      </c>
      <c r="J60" s="3">
        <f t="shared" si="1"/>
        <v>1.0333329999999998</v>
      </c>
      <c r="K60" s="3">
        <v>1</v>
      </c>
      <c r="L60" s="3">
        <f t="shared" si="2"/>
        <v>0</v>
      </c>
    </row>
    <row r="61" spans="1:12" x14ac:dyDescent="0.25">
      <c r="A61" s="1">
        <v>46217</v>
      </c>
      <c r="B61" t="s">
        <v>14</v>
      </c>
      <c r="C61" t="s">
        <v>15</v>
      </c>
      <c r="D61" t="s">
        <v>29</v>
      </c>
      <c r="E61" s="2">
        <v>1.7409722222222221</v>
      </c>
      <c r="F61" s="2">
        <v>1.8284722222222223</v>
      </c>
      <c r="G61" s="3">
        <v>2.1</v>
      </c>
      <c r="H61" t="s">
        <v>74</v>
      </c>
      <c r="J61" s="3">
        <f t="shared" si="1"/>
        <v>0.60000000000000009</v>
      </c>
      <c r="K61" s="3">
        <v>1.5</v>
      </c>
      <c r="L61" s="3">
        <f t="shared" si="2"/>
        <v>0</v>
      </c>
    </row>
    <row r="62" spans="1:12" x14ac:dyDescent="0.25">
      <c r="A62" s="1">
        <v>46217</v>
      </c>
      <c r="B62" t="s">
        <v>14</v>
      </c>
      <c r="C62" t="s">
        <v>15</v>
      </c>
      <c r="D62" t="s">
        <v>29</v>
      </c>
      <c r="E62" s="2">
        <v>1.4319444444444445</v>
      </c>
      <c r="F62" s="2">
        <v>1.5222222222222221</v>
      </c>
      <c r="G62" s="3">
        <v>2.1666660000000002</v>
      </c>
      <c r="H62" t="s">
        <v>75</v>
      </c>
      <c r="J62" s="3">
        <f t="shared" si="1"/>
        <v>1.1666660000000002</v>
      </c>
      <c r="K62" s="3">
        <v>1</v>
      </c>
      <c r="L62" s="3">
        <f t="shared" si="2"/>
        <v>0</v>
      </c>
    </row>
    <row r="63" spans="1:12" x14ac:dyDescent="0.25">
      <c r="A63" s="1">
        <v>46217</v>
      </c>
      <c r="B63" t="s">
        <v>14</v>
      </c>
      <c r="C63" t="s">
        <v>15</v>
      </c>
      <c r="D63" t="s">
        <v>29</v>
      </c>
      <c r="E63" s="2">
        <v>1.6548611111111111</v>
      </c>
      <c r="F63" s="2">
        <v>1.7409722222222221</v>
      </c>
      <c r="G63" s="3">
        <v>2.0666660000000001</v>
      </c>
      <c r="H63" t="s">
        <v>76</v>
      </c>
      <c r="J63" s="3">
        <f t="shared" si="1"/>
        <v>1.2666660000000001</v>
      </c>
      <c r="K63" s="3">
        <v>0.8</v>
      </c>
      <c r="L63" s="3">
        <f t="shared" si="2"/>
        <v>0</v>
      </c>
    </row>
    <row r="64" spans="1:12" x14ac:dyDescent="0.25">
      <c r="A64" s="1">
        <v>46218</v>
      </c>
      <c r="B64" t="s">
        <v>14</v>
      </c>
      <c r="C64" t="s">
        <v>15</v>
      </c>
      <c r="D64" t="s">
        <v>29</v>
      </c>
      <c r="E64" s="2">
        <v>1.4354166666666668</v>
      </c>
      <c r="F64" s="2">
        <v>1.5243055555555556</v>
      </c>
      <c r="G64" s="3">
        <v>2.1333329999999999</v>
      </c>
      <c r="H64" t="s">
        <v>77</v>
      </c>
      <c r="J64" s="3">
        <f t="shared" si="1"/>
        <v>1.0333329999999998</v>
      </c>
      <c r="K64" s="3">
        <v>1.1000000000000001</v>
      </c>
      <c r="L64" s="3">
        <f t="shared" si="2"/>
        <v>0</v>
      </c>
    </row>
    <row r="65" spans="1:12" x14ac:dyDescent="0.25">
      <c r="A65" s="1">
        <v>46218</v>
      </c>
      <c r="B65" t="s">
        <v>14</v>
      </c>
      <c r="C65" t="s">
        <v>15</v>
      </c>
      <c r="D65" t="s">
        <v>29</v>
      </c>
      <c r="E65" s="2">
        <v>1.7444444444444445</v>
      </c>
      <c r="F65" s="2">
        <v>1.8326388888888889</v>
      </c>
      <c r="G65" s="3">
        <v>2.1166659999999999</v>
      </c>
      <c r="H65" t="s">
        <v>78</v>
      </c>
      <c r="J65" s="3">
        <f t="shared" si="1"/>
        <v>0.51666599999999985</v>
      </c>
      <c r="K65" s="3">
        <v>1.6</v>
      </c>
      <c r="L65" s="3">
        <f t="shared" si="2"/>
        <v>0</v>
      </c>
    </row>
    <row r="66" spans="1:12" x14ac:dyDescent="0.25">
      <c r="A66" s="1">
        <v>46218</v>
      </c>
      <c r="B66" t="s">
        <v>9</v>
      </c>
      <c r="C66" t="s">
        <v>10</v>
      </c>
      <c r="D66" t="s">
        <v>34</v>
      </c>
      <c r="E66" s="2">
        <v>1.5743055555555556</v>
      </c>
      <c r="F66" s="2">
        <v>1.6493055555555556</v>
      </c>
      <c r="G66" s="3">
        <v>1.8</v>
      </c>
      <c r="H66" t="s">
        <v>79</v>
      </c>
      <c r="I66" t="s">
        <v>13</v>
      </c>
      <c r="L66" s="3">
        <f t="shared" ref="L66:L97" si="3">IF(I66="New",G66,0)</f>
        <v>1.8</v>
      </c>
    </row>
    <row r="67" spans="1:12" x14ac:dyDescent="0.25">
      <c r="A67" s="1">
        <v>46218</v>
      </c>
      <c r="B67" t="s">
        <v>9</v>
      </c>
      <c r="C67" t="s">
        <v>10</v>
      </c>
      <c r="D67" t="s">
        <v>34</v>
      </c>
      <c r="E67" s="2">
        <v>1.6493055555555556</v>
      </c>
      <c r="F67" s="2">
        <v>1.6729166666666666</v>
      </c>
      <c r="G67" s="3">
        <v>0.566666</v>
      </c>
      <c r="H67" t="s">
        <v>80</v>
      </c>
      <c r="I67" t="s">
        <v>13</v>
      </c>
      <c r="L67" s="3">
        <f t="shared" si="3"/>
        <v>0.566666</v>
      </c>
    </row>
    <row r="68" spans="1:12" x14ac:dyDescent="0.25">
      <c r="A68" s="1">
        <v>46218</v>
      </c>
      <c r="B68" t="s">
        <v>9</v>
      </c>
      <c r="C68" t="s">
        <v>10</v>
      </c>
      <c r="D68" t="s">
        <v>34</v>
      </c>
      <c r="E68" s="2">
        <v>1.7131944444444445</v>
      </c>
      <c r="F68" s="2">
        <v>1.7611111111111111</v>
      </c>
      <c r="G68" s="3">
        <v>1.1499999999999999</v>
      </c>
      <c r="H68" t="s">
        <v>81</v>
      </c>
      <c r="I68" t="s">
        <v>13</v>
      </c>
      <c r="L68" s="3">
        <f t="shared" si="3"/>
        <v>1.1499999999999999</v>
      </c>
    </row>
    <row r="69" spans="1:12" x14ac:dyDescent="0.25">
      <c r="A69" s="1">
        <v>46218</v>
      </c>
      <c r="B69" t="s">
        <v>14</v>
      </c>
      <c r="C69" t="s">
        <v>15</v>
      </c>
      <c r="D69" t="s">
        <v>29</v>
      </c>
      <c r="E69" s="2">
        <v>1.5243055555555556</v>
      </c>
      <c r="F69" s="2">
        <v>1.6097222222222223</v>
      </c>
      <c r="G69" s="3">
        <v>2.0499999999999998</v>
      </c>
      <c r="H69" t="s">
        <v>82</v>
      </c>
      <c r="J69" s="3">
        <f t="shared" ref="J69:J130" si="4">IF(I69="New",0,G69-K69)</f>
        <v>1.2499999999999998</v>
      </c>
      <c r="K69" s="3">
        <v>0.8</v>
      </c>
      <c r="L69" s="3">
        <f t="shared" si="3"/>
        <v>0</v>
      </c>
    </row>
    <row r="70" spans="1:12" x14ac:dyDescent="0.25">
      <c r="A70" s="1">
        <v>46218</v>
      </c>
      <c r="B70" t="s">
        <v>14</v>
      </c>
      <c r="C70" t="s">
        <v>15</v>
      </c>
      <c r="D70" t="s">
        <v>29</v>
      </c>
      <c r="E70" s="2">
        <v>1.6548611111111111</v>
      </c>
      <c r="F70" s="2">
        <v>1.7444444444444445</v>
      </c>
      <c r="G70" s="3">
        <v>2.15</v>
      </c>
      <c r="H70" t="s">
        <v>83</v>
      </c>
      <c r="J70" s="3">
        <f t="shared" si="4"/>
        <v>1.45</v>
      </c>
      <c r="K70" s="3">
        <v>0.7</v>
      </c>
      <c r="L70" s="3">
        <f t="shared" si="3"/>
        <v>0</v>
      </c>
    </row>
    <row r="71" spans="1:12" x14ac:dyDescent="0.25">
      <c r="A71" s="1">
        <v>46219</v>
      </c>
      <c r="B71" t="s">
        <v>9</v>
      </c>
      <c r="C71" t="s">
        <v>10</v>
      </c>
      <c r="D71" t="s">
        <v>34</v>
      </c>
      <c r="E71" s="2">
        <v>1.007638888888889</v>
      </c>
      <c r="F71" s="2">
        <v>1.0520833333333333</v>
      </c>
      <c r="G71" s="3">
        <v>1.0666659999999999</v>
      </c>
      <c r="H71" t="s">
        <v>84</v>
      </c>
      <c r="I71" t="s">
        <v>13</v>
      </c>
      <c r="L71" s="3">
        <f t="shared" si="3"/>
        <v>1.0666659999999999</v>
      </c>
    </row>
    <row r="72" spans="1:12" x14ac:dyDescent="0.25">
      <c r="A72" s="1">
        <v>46219</v>
      </c>
      <c r="B72" t="s">
        <v>14</v>
      </c>
      <c r="C72" t="s">
        <v>15</v>
      </c>
      <c r="D72" t="s">
        <v>29</v>
      </c>
      <c r="E72" s="2">
        <v>1.4243055555555555</v>
      </c>
      <c r="F72" s="2">
        <v>1.5145833333333334</v>
      </c>
      <c r="G72" s="3">
        <v>2.1666660000000002</v>
      </c>
      <c r="H72" t="s">
        <v>85</v>
      </c>
      <c r="J72" s="3">
        <f t="shared" si="4"/>
        <v>1.2666660000000003</v>
      </c>
      <c r="K72" s="3">
        <v>0.9</v>
      </c>
      <c r="L72" s="3">
        <f t="shared" si="3"/>
        <v>0</v>
      </c>
    </row>
    <row r="73" spans="1:12" x14ac:dyDescent="0.25">
      <c r="A73" s="1">
        <v>46219</v>
      </c>
      <c r="B73" t="s">
        <v>14</v>
      </c>
      <c r="C73" t="s">
        <v>15</v>
      </c>
      <c r="D73" t="s">
        <v>29</v>
      </c>
      <c r="E73" s="2">
        <v>1.7375</v>
      </c>
      <c r="F73" s="2">
        <v>1.8243055555555556</v>
      </c>
      <c r="G73" s="3">
        <v>2.0833330000000001</v>
      </c>
      <c r="H73" t="s">
        <v>86</v>
      </c>
      <c r="J73" s="3">
        <f t="shared" si="4"/>
        <v>0.5833330000000001</v>
      </c>
      <c r="K73" s="3">
        <v>1.5</v>
      </c>
      <c r="L73" s="3">
        <f t="shared" si="3"/>
        <v>0</v>
      </c>
    </row>
    <row r="74" spans="1:12" x14ac:dyDescent="0.25">
      <c r="A74" s="1">
        <v>46219</v>
      </c>
      <c r="B74" t="s">
        <v>14</v>
      </c>
      <c r="C74" t="s">
        <v>15</v>
      </c>
      <c r="D74" t="s">
        <v>29</v>
      </c>
      <c r="E74" s="2">
        <v>1.6479166666666667</v>
      </c>
      <c r="F74" s="2">
        <v>1.7375</v>
      </c>
      <c r="G74" s="3">
        <v>2.15</v>
      </c>
      <c r="H74" t="s">
        <v>87</v>
      </c>
      <c r="J74" s="3">
        <f t="shared" si="4"/>
        <v>1.3499999999999999</v>
      </c>
      <c r="K74" s="3">
        <v>0.8</v>
      </c>
      <c r="L74" s="3">
        <f t="shared" si="3"/>
        <v>0</v>
      </c>
    </row>
    <row r="75" spans="1:12" x14ac:dyDescent="0.25">
      <c r="A75" s="1">
        <v>46219</v>
      </c>
      <c r="B75" t="s">
        <v>9</v>
      </c>
      <c r="C75" t="s">
        <v>10</v>
      </c>
      <c r="D75" t="s">
        <v>34</v>
      </c>
      <c r="E75" s="2">
        <v>1.0520833333333333</v>
      </c>
      <c r="F75" s="2">
        <v>1.0958333333333334</v>
      </c>
      <c r="G75" s="3">
        <v>1.05</v>
      </c>
      <c r="H75" t="s">
        <v>88</v>
      </c>
      <c r="I75" t="s">
        <v>13</v>
      </c>
      <c r="L75" s="3">
        <f t="shared" si="3"/>
        <v>1.05</v>
      </c>
    </row>
    <row r="76" spans="1:12" x14ac:dyDescent="0.25">
      <c r="A76" s="1">
        <v>46219</v>
      </c>
      <c r="B76" t="s">
        <v>9</v>
      </c>
      <c r="C76" t="s">
        <v>10</v>
      </c>
      <c r="D76" t="s">
        <v>34</v>
      </c>
      <c r="E76" s="2">
        <v>1.0958333333333334</v>
      </c>
      <c r="F76" s="2">
        <v>1.1548611111111111</v>
      </c>
      <c r="G76" s="3">
        <v>1.416666</v>
      </c>
      <c r="H76" t="s">
        <v>89</v>
      </c>
      <c r="I76" t="s">
        <v>13</v>
      </c>
      <c r="L76" s="3">
        <f t="shared" si="3"/>
        <v>1.416666</v>
      </c>
    </row>
    <row r="77" spans="1:12" x14ac:dyDescent="0.25">
      <c r="A77" s="1">
        <v>46219</v>
      </c>
      <c r="B77" t="s">
        <v>14</v>
      </c>
      <c r="C77" t="s">
        <v>15</v>
      </c>
      <c r="D77" t="s">
        <v>29</v>
      </c>
      <c r="E77" s="2">
        <v>1.5145833333333334</v>
      </c>
      <c r="F77" s="2">
        <v>1.6020833333333333</v>
      </c>
      <c r="G77" s="3">
        <v>2.1</v>
      </c>
      <c r="H77" t="s">
        <v>90</v>
      </c>
      <c r="J77" s="3">
        <f t="shared" si="4"/>
        <v>0.70000000000000018</v>
      </c>
      <c r="K77" s="3">
        <v>1.4</v>
      </c>
      <c r="L77" s="3">
        <f t="shared" si="3"/>
        <v>0</v>
      </c>
    </row>
    <row r="78" spans="1:12" x14ac:dyDescent="0.25">
      <c r="A78" s="1">
        <v>46220</v>
      </c>
      <c r="B78" t="s">
        <v>9</v>
      </c>
      <c r="C78" t="s">
        <v>10</v>
      </c>
      <c r="D78" t="s">
        <v>34</v>
      </c>
      <c r="E78" s="2">
        <v>1.0604166666666666</v>
      </c>
      <c r="F78" s="2">
        <v>1.1263888888888889</v>
      </c>
      <c r="G78" s="3">
        <v>1.5833330000000001</v>
      </c>
      <c r="H78" t="s">
        <v>91</v>
      </c>
      <c r="I78" t="s">
        <v>13</v>
      </c>
      <c r="L78" s="3">
        <f t="shared" si="3"/>
        <v>1.5833330000000001</v>
      </c>
    </row>
    <row r="79" spans="1:12" x14ac:dyDescent="0.25">
      <c r="A79" s="1">
        <v>46220</v>
      </c>
      <c r="B79" t="s">
        <v>14</v>
      </c>
      <c r="C79" t="s">
        <v>15</v>
      </c>
      <c r="D79" t="s">
        <v>29</v>
      </c>
      <c r="E79" s="2">
        <v>1.6583333333333332</v>
      </c>
      <c r="F79" s="2">
        <v>1.7437499999999999</v>
      </c>
      <c r="G79" s="3">
        <v>2.0499999999999998</v>
      </c>
      <c r="H79" t="s">
        <v>92</v>
      </c>
      <c r="J79" s="3">
        <f t="shared" si="4"/>
        <v>0.84999999999999987</v>
      </c>
      <c r="K79" s="3">
        <v>1.2</v>
      </c>
      <c r="L79" s="3">
        <f t="shared" si="3"/>
        <v>0</v>
      </c>
    </row>
    <row r="80" spans="1:12" x14ac:dyDescent="0.25">
      <c r="A80" s="1">
        <v>46220</v>
      </c>
      <c r="B80" t="s">
        <v>9</v>
      </c>
      <c r="C80" t="s">
        <v>10</v>
      </c>
      <c r="D80" t="s">
        <v>34</v>
      </c>
      <c r="E80" s="2">
        <v>1.6270833333333332</v>
      </c>
      <c r="F80" s="2">
        <v>1.6694444444444443</v>
      </c>
      <c r="G80" s="3">
        <v>1.0166660000000001</v>
      </c>
      <c r="H80" t="s">
        <v>93</v>
      </c>
      <c r="I80" t="s">
        <v>13</v>
      </c>
      <c r="L80" s="3">
        <f t="shared" si="3"/>
        <v>1.0166660000000001</v>
      </c>
    </row>
    <row r="81" spans="1:12" x14ac:dyDescent="0.25">
      <c r="A81" s="1">
        <v>46220</v>
      </c>
      <c r="B81" t="s">
        <v>14</v>
      </c>
      <c r="C81" t="s">
        <v>15</v>
      </c>
      <c r="D81" t="s">
        <v>29</v>
      </c>
      <c r="E81" s="2">
        <v>1.5256944444444445</v>
      </c>
      <c r="F81" s="2">
        <v>1.6138888888888889</v>
      </c>
      <c r="G81" s="3">
        <v>2.1166659999999999</v>
      </c>
      <c r="H81" t="s">
        <v>94</v>
      </c>
      <c r="J81" s="3">
        <f t="shared" si="4"/>
        <v>1.1166659999999999</v>
      </c>
      <c r="K81" s="3">
        <v>1</v>
      </c>
      <c r="L81" s="3">
        <f t="shared" si="3"/>
        <v>0</v>
      </c>
    </row>
    <row r="82" spans="1:12" x14ac:dyDescent="0.25">
      <c r="A82" s="1">
        <v>46220</v>
      </c>
      <c r="B82" t="s">
        <v>9</v>
      </c>
      <c r="C82" t="s">
        <v>10</v>
      </c>
      <c r="D82" t="s">
        <v>34</v>
      </c>
      <c r="E82" s="2">
        <v>1.6694444444444443</v>
      </c>
      <c r="F82" s="2">
        <v>1.7111111111111112</v>
      </c>
      <c r="G82" s="3">
        <v>1</v>
      </c>
      <c r="H82" t="s">
        <v>95</v>
      </c>
      <c r="I82" t="s">
        <v>13</v>
      </c>
      <c r="L82" s="3">
        <f t="shared" si="3"/>
        <v>1</v>
      </c>
    </row>
    <row r="83" spans="1:12" x14ac:dyDescent="0.25">
      <c r="A83" s="1">
        <v>46220</v>
      </c>
      <c r="B83" t="s">
        <v>14</v>
      </c>
      <c r="C83" t="s">
        <v>15</v>
      </c>
      <c r="D83" t="s">
        <v>29</v>
      </c>
      <c r="E83" s="2">
        <v>1.4395833333333332</v>
      </c>
      <c r="F83" s="2">
        <v>1.5256944444444445</v>
      </c>
      <c r="G83" s="3">
        <v>2.0666660000000001</v>
      </c>
      <c r="H83" t="s">
        <v>96</v>
      </c>
      <c r="J83" s="3">
        <f t="shared" si="4"/>
        <v>0.96666600000000003</v>
      </c>
      <c r="K83" s="3">
        <v>1.1000000000000001</v>
      </c>
      <c r="L83" s="3">
        <f t="shared" si="3"/>
        <v>0</v>
      </c>
    </row>
    <row r="84" spans="1:12" x14ac:dyDescent="0.25">
      <c r="A84" s="1">
        <v>46220</v>
      </c>
      <c r="B84" t="s">
        <v>14</v>
      </c>
      <c r="C84" t="s">
        <v>15</v>
      </c>
      <c r="D84" t="s">
        <v>29</v>
      </c>
      <c r="E84" s="2">
        <v>1.7437499999999999</v>
      </c>
      <c r="F84" s="2">
        <v>1.8326388888888889</v>
      </c>
      <c r="G84" s="3">
        <v>2.1333329999999999</v>
      </c>
      <c r="H84" t="s">
        <v>97</v>
      </c>
      <c r="J84" s="3">
        <f t="shared" si="4"/>
        <v>1.433333</v>
      </c>
      <c r="K84" s="3">
        <v>0.7</v>
      </c>
      <c r="L84" s="3">
        <f t="shared" si="3"/>
        <v>0</v>
      </c>
    </row>
    <row r="85" spans="1:12" x14ac:dyDescent="0.25">
      <c r="A85" s="1">
        <v>46223</v>
      </c>
      <c r="B85" t="s">
        <v>14</v>
      </c>
      <c r="C85" t="s">
        <v>15</v>
      </c>
      <c r="D85" t="s">
        <v>29</v>
      </c>
      <c r="E85" s="2">
        <v>1.6013888888888888</v>
      </c>
      <c r="F85" s="2">
        <v>1.6909722222222223</v>
      </c>
      <c r="G85" s="3">
        <v>2.15</v>
      </c>
      <c r="H85" t="s">
        <v>98</v>
      </c>
      <c r="J85" s="3">
        <f t="shared" si="4"/>
        <v>1.1499999999999999</v>
      </c>
      <c r="K85" s="3">
        <v>1</v>
      </c>
      <c r="L85" s="3">
        <f t="shared" si="3"/>
        <v>0</v>
      </c>
    </row>
    <row r="86" spans="1:12" x14ac:dyDescent="0.25">
      <c r="A86" s="1">
        <v>46223</v>
      </c>
      <c r="B86" t="s">
        <v>14</v>
      </c>
      <c r="C86" t="s">
        <v>15</v>
      </c>
      <c r="D86" t="s">
        <v>29</v>
      </c>
      <c r="E86" s="2">
        <v>1.7375</v>
      </c>
      <c r="F86" s="2">
        <v>1.8256944444444443</v>
      </c>
      <c r="G86" s="3">
        <v>2.1166659999999999</v>
      </c>
      <c r="H86" t="s">
        <v>99</v>
      </c>
      <c r="J86" s="3">
        <f t="shared" si="4"/>
        <v>0.91666599999999998</v>
      </c>
      <c r="K86" s="3">
        <v>1.2</v>
      </c>
      <c r="L86" s="3">
        <f t="shared" si="3"/>
        <v>0</v>
      </c>
    </row>
    <row r="87" spans="1:12" x14ac:dyDescent="0.25">
      <c r="A87" s="1">
        <v>46223</v>
      </c>
      <c r="B87" t="s">
        <v>14</v>
      </c>
      <c r="C87" t="s">
        <v>15</v>
      </c>
      <c r="D87" t="s">
        <v>29</v>
      </c>
      <c r="E87" s="2">
        <v>1.8256944444444443</v>
      </c>
      <c r="F87" s="2">
        <v>1.911111111111111</v>
      </c>
      <c r="G87" s="3">
        <v>2.0499999999999998</v>
      </c>
      <c r="H87" t="s">
        <v>100</v>
      </c>
      <c r="J87" s="3">
        <f t="shared" si="4"/>
        <v>1.2499999999999998</v>
      </c>
      <c r="K87" s="3">
        <v>0.8</v>
      </c>
      <c r="L87" s="3">
        <f t="shared" si="3"/>
        <v>0</v>
      </c>
    </row>
    <row r="88" spans="1:12" x14ac:dyDescent="0.25">
      <c r="A88" s="1">
        <v>46224</v>
      </c>
      <c r="B88" t="s">
        <v>9</v>
      </c>
      <c r="C88" t="s">
        <v>10</v>
      </c>
      <c r="D88" t="s">
        <v>34</v>
      </c>
      <c r="E88" s="2">
        <v>1.65625</v>
      </c>
      <c r="F88" s="2">
        <v>1.6993055555555556</v>
      </c>
      <c r="G88" s="3">
        <v>1.0333330000000001</v>
      </c>
      <c r="H88" t="s">
        <v>101</v>
      </c>
      <c r="I88" t="s">
        <v>13</v>
      </c>
      <c r="L88" s="3">
        <f t="shared" si="3"/>
        <v>1.0333330000000001</v>
      </c>
    </row>
    <row r="89" spans="1:12" x14ac:dyDescent="0.25">
      <c r="A89" s="1">
        <v>46224</v>
      </c>
      <c r="B89" t="s">
        <v>9</v>
      </c>
      <c r="C89" t="s">
        <v>10</v>
      </c>
      <c r="D89" t="s">
        <v>34</v>
      </c>
      <c r="E89" s="2">
        <v>1.5923611111111111</v>
      </c>
      <c r="F89" s="2">
        <v>1.6361111111111111</v>
      </c>
      <c r="G89" s="3">
        <v>1.05</v>
      </c>
      <c r="H89" t="s">
        <v>102</v>
      </c>
      <c r="J89" s="3">
        <f t="shared" si="4"/>
        <v>1.05</v>
      </c>
      <c r="L89" s="3">
        <f t="shared" si="3"/>
        <v>0</v>
      </c>
    </row>
    <row r="90" spans="1:12" x14ac:dyDescent="0.25">
      <c r="A90" s="1">
        <v>46224</v>
      </c>
      <c r="B90" t="s">
        <v>9</v>
      </c>
      <c r="C90" t="s">
        <v>10</v>
      </c>
      <c r="D90" t="s">
        <v>34</v>
      </c>
      <c r="E90" s="2">
        <v>1.6993055555555556</v>
      </c>
      <c r="F90" s="2">
        <v>1.7631944444444443</v>
      </c>
      <c r="G90" s="3">
        <v>1.5333330000000001</v>
      </c>
      <c r="H90" t="s">
        <v>101</v>
      </c>
      <c r="J90" s="3">
        <f t="shared" si="4"/>
        <v>1.5333330000000001</v>
      </c>
      <c r="L90" s="3">
        <f t="shared" si="3"/>
        <v>0</v>
      </c>
    </row>
    <row r="91" spans="1:12" x14ac:dyDescent="0.25">
      <c r="A91" s="1">
        <v>46224</v>
      </c>
      <c r="B91" t="s">
        <v>9</v>
      </c>
      <c r="C91" t="s">
        <v>10</v>
      </c>
      <c r="D91" t="s">
        <v>34</v>
      </c>
      <c r="E91" s="2">
        <v>1.0458333333333334</v>
      </c>
      <c r="F91" s="2">
        <v>1.0958333333333334</v>
      </c>
      <c r="G91" s="3">
        <v>1.2</v>
      </c>
      <c r="H91" t="s">
        <v>103</v>
      </c>
      <c r="J91" s="3">
        <f t="shared" si="4"/>
        <v>1.2</v>
      </c>
      <c r="L91" s="3">
        <f t="shared" si="3"/>
        <v>0</v>
      </c>
    </row>
    <row r="92" spans="1:12" x14ac:dyDescent="0.25">
      <c r="A92" s="1">
        <v>46224</v>
      </c>
      <c r="B92" t="s">
        <v>14</v>
      </c>
      <c r="C92" t="s">
        <v>15</v>
      </c>
      <c r="D92" t="s">
        <v>29</v>
      </c>
      <c r="E92" s="2">
        <v>1.5506944444444444</v>
      </c>
      <c r="F92" s="2">
        <v>1.6375</v>
      </c>
      <c r="G92" s="3">
        <v>2.0833330000000001</v>
      </c>
      <c r="H92" t="s">
        <v>104</v>
      </c>
      <c r="J92" s="3">
        <f t="shared" si="4"/>
        <v>0.5833330000000001</v>
      </c>
      <c r="K92" s="3">
        <v>1.5</v>
      </c>
      <c r="L92" s="3">
        <f t="shared" si="3"/>
        <v>0</v>
      </c>
    </row>
    <row r="93" spans="1:12" x14ac:dyDescent="0.25">
      <c r="A93" s="1">
        <v>46224</v>
      </c>
      <c r="B93" t="s">
        <v>14</v>
      </c>
      <c r="C93" t="s">
        <v>15</v>
      </c>
      <c r="D93" t="s">
        <v>29</v>
      </c>
      <c r="E93" s="2">
        <v>1.8652777777777778</v>
      </c>
      <c r="F93" s="2">
        <v>1.9534722222222223</v>
      </c>
      <c r="G93" s="3">
        <v>2.1166659999999999</v>
      </c>
      <c r="H93" t="s">
        <v>105</v>
      </c>
      <c r="J93" s="3">
        <f t="shared" si="4"/>
        <v>0.81666599999999989</v>
      </c>
      <c r="K93" s="3">
        <v>1.3</v>
      </c>
      <c r="L93" s="3">
        <f t="shared" si="3"/>
        <v>0</v>
      </c>
    </row>
    <row r="94" spans="1:12" x14ac:dyDescent="0.25">
      <c r="A94" s="1">
        <v>46224</v>
      </c>
      <c r="B94" t="s">
        <v>9</v>
      </c>
      <c r="C94" t="s">
        <v>10</v>
      </c>
      <c r="D94" t="s">
        <v>34</v>
      </c>
      <c r="E94" s="2">
        <v>1.5506944444444444</v>
      </c>
      <c r="F94" s="2">
        <v>1.5923611111111111</v>
      </c>
      <c r="G94" s="3">
        <v>1</v>
      </c>
      <c r="H94" t="s">
        <v>106</v>
      </c>
      <c r="J94" s="3">
        <f t="shared" si="4"/>
        <v>1</v>
      </c>
      <c r="L94" s="3">
        <f t="shared" si="3"/>
        <v>0</v>
      </c>
    </row>
    <row r="95" spans="1:12" x14ac:dyDescent="0.25">
      <c r="A95" s="1">
        <v>46224</v>
      </c>
      <c r="B95" t="s">
        <v>14</v>
      </c>
      <c r="C95" t="s">
        <v>15</v>
      </c>
      <c r="D95" t="s">
        <v>29</v>
      </c>
      <c r="E95" s="2">
        <v>1.6375</v>
      </c>
      <c r="F95" s="2">
        <v>1.723611111111111</v>
      </c>
      <c r="G95" s="3">
        <v>2.0666660000000001</v>
      </c>
      <c r="H95" t="s">
        <v>107</v>
      </c>
      <c r="J95" s="3">
        <f t="shared" si="4"/>
        <v>1.3666660000000002</v>
      </c>
      <c r="K95" s="3">
        <v>0.7</v>
      </c>
      <c r="L95" s="3">
        <f t="shared" si="3"/>
        <v>0</v>
      </c>
    </row>
    <row r="96" spans="1:12" x14ac:dyDescent="0.25">
      <c r="A96" s="1">
        <v>46224</v>
      </c>
      <c r="B96" t="s">
        <v>14</v>
      </c>
      <c r="C96" t="s">
        <v>15</v>
      </c>
      <c r="D96" t="s">
        <v>29</v>
      </c>
      <c r="E96" s="2">
        <v>1.7743055555555556</v>
      </c>
      <c r="F96" s="2">
        <v>1.8652777777777778</v>
      </c>
      <c r="G96" s="3">
        <v>2.1833330000000002</v>
      </c>
      <c r="H96" t="s">
        <v>108</v>
      </c>
      <c r="J96" s="3">
        <f t="shared" si="4"/>
        <v>1.1833330000000002</v>
      </c>
      <c r="K96" s="3">
        <v>1</v>
      </c>
      <c r="L96" s="3">
        <f t="shared" si="3"/>
        <v>0</v>
      </c>
    </row>
    <row r="97" spans="1:12" x14ac:dyDescent="0.25">
      <c r="A97" s="1">
        <v>46225</v>
      </c>
      <c r="B97" t="s">
        <v>14</v>
      </c>
      <c r="C97" t="s">
        <v>15</v>
      </c>
      <c r="D97" t="s">
        <v>29</v>
      </c>
      <c r="E97" s="2">
        <v>1.3374999999999999</v>
      </c>
      <c r="F97" s="2">
        <v>1.425</v>
      </c>
      <c r="G97" s="3">
        <v>2.1</v>
      </c>
      <c r="H97" t="s">
        <v>109</v>
      </c>
      <c r="J97" s="3">
        <f t="shared" si="4"/>
        <v>1.1000000000000001</v>
      </c>
      <c r="K97" s="3">
        <v>1</v>
      </c>
      <c r="L97" s="3">
        <f t="shared" si="3"/>
        <v>0</v>
      </c>
    </row>
    <row r="98" spans="1:12" x14ac:dyDescent="0.25">
      <c r="A98" s="1">
        <v>46225</v>
      </c>
      <c r="B98" t="s">
        <v>14</v>
      </c>
      <c r="C98" t="s">
        <v>15</v>
      </c>
      <c r="D98" t="s">
        <v>29</v>
      </c>
      <c r="E98" s="2">
        <v>1.425</v>
      </c>
      <c r="F98" s="2">
        <v>1.5159722222222223</v>
      </c>
      <c r="G98" s="3">
        <v>2.1833330000000002</v>
      </c>
      <c r="H98" t="s">
        <v>110</v>
      </c>
      <c r="J98" s="3">
        <f t="shared" si="4"/>
        <v>0.78333300000000028</v>
      </c>
      <c r="K98" s="3">
        <v>1.4</v>
      </c>
      <c r="L98" s="3">
        <f t="shared" ref="L98:L129" si="5">IF(I98="New",G98,0)</f>
        <v>0</v>
      </c>
    </row>
    <row r="99" spans="1:12" x14ac:dyDescent="0.25">
      <c r="A99" s="1">
        <v>46225</v>
      </c>
      <c r="B99" t="s">
        <v>14</v>
      </c>
      <c r="C99" t="s">
        <v>15</v>
      </c>
      <c r="D99" t="s">
        <v>29</v>
      </c>
      <c r="E99" s="2">
        <v>1.5631944444444446</v>
      </c>
      <c r="F99" s="2">
        <v>1.6486111111111112</v>
      </c>
      <c r="G99" s="3">
        <v>2.0499999999999998</v>
      </c>
      <c r="H99" t="s">
        <v>111</v>
      </c>
      <c r="J99" s="3">
        <f t="shared" si="4"/>
        <v>0.64999999999999991</v>
      </c>
      <c r="K99" s="3">
        <v>1.4</v>
      </c>
      <c r="L99" s="3">
        <f t="shared" si="5"/>
        <v>0</v>
      </c>
    </row>
    <row r="100" spans="1:12" x14ac:dyDescent="0.25">
      <c r="A100" s="1">
        <v>46225</v>
      </c>
      <c r="B100" t="s">
        <v>14</v>
      </c>
      <c r="C100" t="s">
        <v>15</v>
      </c>
      <c r="D100" t="s">
        <v>29</v>
      </c>
      <c r="E100" s="2">
        <v>1.6486111111111112</v>
      </c>
      <c r="F100" s="2">
        <v>1.7354166666666666</v>
      </c>
      <c r="G100" s="3">
        <v>2.0833330000000001</v>
      </c>
      <c r="H100" t="s">
        <v>112</v>
      </c>
      <c r="J100" s="3">
        <f t="shared" si="4"/>
        <v>0.68333300000000019</v>
      </c>
      <c r="K100" s="3">
        <v>1.4</v>
      </c>
      <c r="L100" s="3">
        <f t="shared" si="5"/>
        <v>0</v>
      </c>
    </row>
    <row r="101" spans="1:12" x14ac:dyDescent="0.25">
      <c r="A101" s="1">
        <v>46225</v>
      </c>
      <c r="B101" t="s">
        <v>9</v>
      </c>
      <c r="C101" t="s">
        <v>10</v>
      </c>
      <c r="D101" t="s">
        <v>34</v>
      </c>
      <c r="E101" s="2">
        <v>1.0083333333333333</v>
      </c>
      <c r="F101" s="2">
        <v>1.0375000000000001</v>
      </c>
      <c r="G101" s="3">
        <v>0.7</v>
      </c>
      <c r="H101" t="s">
        <v>113</v>
      </c>
      <c r="J101" s="3">
        <f t="shared" si="4"/>
        <v>0.7</v>
      </c>
      <c r="L101" s="3">
        <f t="shared" si="5"/>
        <v>0</v>
      </c>
    </row>
    <row r="102" spans="1:12" x14ac:dyDescent="0.25">
      <c r="A102" s="1">
        <v>46225</v>
      </c>
      <c r="B102" t="s">
        <v>9</v>
      </c>
      <c r="C102" t="s">
        <v>10</v>
      </c>
      <c r="D102" t="s">
        <v>34</v>
      </c>
      <c r="E102" s="2">
        <v>1.0375000000000001</v>
      </c>
      <c r="F102" s="2">
        <v>1.0840277777777778</v>
      </c>
      <c r="G102" s="3">
        <v>1.1166659999999999</v>
      </c>
      <c r="H102" t="s">
        <v>114</v>
      </c>
      <c r="I102" t="s">
        <v>13</v>
      </c>
      <c r="L102" s="3">
        <f t="shared" si="5"/>
        <v>1.1166659999999999</v>
      </c>
    </row>
    <row r="103" spans="1:12" x14ac:dyDescent="0.25">
      <c r="A103" s="1">
        <v>46225</v>
      </c>
      <c r="B103" t="s">
        <v>9</v>
      </c>
      <c r="C103" t="s">
        <v>10</v>
      </c>
      <c r="D103" t="s">
        <v>34</v>
      </c>
      <c r="E103" s="2">
        <v>1.1166666666666667</v>
      </c>
      <c r="F103" s="2">
        <v>1.1847222222222222</v>
      </c>
      <c r="G103" s="3">
        <v>1.6333329999999999</v>
      </c>
      <c r="H103" t="s">
        <v>115</v>
      </c>
      <c r="I103" t="s">
        <v>13</v>
      </c>
      <c r="L103" s="3">
        <f t="shared" si="5"/>
        <v>1.6333329999999999</v>
      </c>
    </row>
    <row r="104" spans="1:12" x14ac:dyDescent="0.25">
      <c r="A104" s="1">
        <v>46225</v>
      </c>
      <c r="B104" t="s">
        <v>9</v>
      </c>
      <c r="C104" t="s">
        <v>10</v>
      </c>
      <c r="D104" t="s">
        <v>34</v>
      </c>
      <c r="E104" s="2">
        <v>1.64375</v>
      </c>
      <c r="F104" s="2">
        <v>1.7118055555555556</v>
      </c>
      <c r="G104" s="3">
        <v>1.6333329999999999</v>
      </c>
      <c r="H104" t="s">
        <v>116</v>
      </c>
      <c r="I104" t="s">
        <v>13</v>
      </c>
      <c r="L104" s="3">
        <f t="shared" si="5"/>
        <v>1.6333329999999999</v>
      </c>
    </row>
    <row r="105" spans="1:12" x14ac:dyDescent="0.25">
      <c r="A105" s="1">
        <v>46225</v>
      </c>
      <c r="B105" t="s">
        <v>9</v>
      </c>
      <c r="C105" t="s">
        <v>10</v>
      </c>
      <c r="D105" t="s">
        <v>34</v>
      </c>
      <c r="E105" s="2">
        <v>1.8958333333333335</v>
      </c>
      <c r="F105" s="2">
        <v>1.9381944444444446</v>
      </c>
      <c r="G105" s="3">
        <v>1.0166660000000001</v>
      </c>
      <c r="H105" t="s">
        <v>117</v>
      </c>
      <c r="J105" s="3">
        <f t="shared" si="4"/>
        <v>1.0166660000000001</v>
      </c>
      <c r="L105" s="3">
        <f t="shared" si="5"/>
        <v>0</v>
      </c>
    </row>
    <row r="106" spans="1:12" x14ac:dyDescent="0.25">
      <c r="A106" s="1">
        <v>46226</v>
      </c>
      <c r="B106" t="s">
        <v>14</v>
      </c>
      <c r="C106" t="s">
        <v>15</v>
      </c>
      <c r="D106" t="s">
        <v>29</v>
      </c>
      <c r="E106" s="2">
        <v>1.4666666666666668</v>
      </c>
      <c r="F106" s="2">
        <v>1.5562499999999999</v>
      </c>
      <c r="G106" s="3">
        <v>2.15</v>
      </c>
      <c r="H106" t="s">
        <v>118</v>
      </c>
      <c r="J106" s="3">
        <f t="shared" si="4"/>
        <v>1.1499999999999999</v>
      </c>
      <c r="K106" s="3">
        <v>1</v>
      </c>
      <c r="L106" s="3">
        <f t="shared" si="5"/>
        <v>0</v>
      </c>
    </row>
    <row r="107" spans="1:12" x14ac:dyDescent="0.25">
      <c r="A107" s="1">
        <v>46226</v>
      </c>
      <c r="B107" t="s">
        <v>14</v>
      </c>
      <c r="C107" t="s">
        <v>15</v>
      </c>
      <c r="D107" t="s">
        <v>29</v>
      </c>
      <c r="E107" s="2">
        <v>1.5562499999999999</v>
      </c>
      <c r="F107" s="2">
        <v>1.6416666666666666</v>
      </c>
      <c r="G107" s="3">
        <v>2.0499999999999998</v>
      </c>
      <c r="H107" t="s">
        <v>119</v>
      </c>
      <c r="J107" s="3">
        <f t="shared" si="4"/>
        <v>1.3499999999999999</v>
      </c>
      <c r="K107" s="3">
        <v>0.7</v>
      </c>
      <c r="L107" s="3">
        <f t="shared" si="5"/>
        <v>0</v>
      </c>
    </row>
    <row r="108" spans="1:12" x14ac:dyDescent="0.25">
      <c r="A108" s="1">
        <v>46226</v>
      </c>
      <c r="B108" t="s">
        <v>14</v>
      </c>
      <c r="C108" t="s">
        <v>15</v>
      </c>
      <c r="D108" t="s">
        <v>29</v>
      </c>
      <c r="E108" s="2">
        <v>1.692361111111111</v>
      </c>
      <c r="F108" s="2">
        <v>1.7791666666666668</v>
      </c>
      <c r="G108" s="3">
        <v>2.0833330000000001</v>
      </c>
      <c r="H108" t="s">
        <v>120</v>
      </c>
      <c r="J108" s="3">
        <f t="shared" si="4"/>
        <v>1.3833330000000001</v>
      </c>
      <c r="K108" s="3">
        <v>0.7</v>
      </c>
      <c r="L108" s="3">
        <f t="shared" si="5"/>
        <v>0</v>
      </c>
    </row>
    <row r="109" spans="1:12" x14ac:dyDescent="0.25">
      <c r="A109" s="1">
        <v>46226</v>
      </c>
      <c r="B109" t="s">
        <v>14</v>
      </c>
      <c r="C109" t="s">
        <v>15</v>
      </c>
      <c r="D109" t="s">
        <v>29</v>
      </c>
      <c r="E109" s="2">
        <v>1.7791666666666668</v>
      </c>
      <c r="F109" s="2">
        <v>1.8673611111111112</v>
      </c>
      <c r="G109" s="3">
        <v>2.1166659999999999</v>
      </c>
      <c r="H109" t="s">
        <v>121</v>
      </c>
      <c r="J109" s="3">
        <f t="shared" si="4"/>
        <v>0.51666599999999985</v>
      </c>
      <c r="K109" s="3">
        <v>1.6</v>
      </c>
      <c r="L109" s="3">
        <f t="shared" si="5"/>
        <v>0</v>
      </c>
    </row>
    <row r="110" spans="1:12" x14ac:dyDescent="0.25">
      <c r="A110" s="1">
        <v>46227</v>
      </c>
      <c r="B110" t="s">
        <v>14</v>
      </c>
      <c r="C110" t="s">
        <v>15</v>
      </c>
      <c r="D110" t="s">
        <v>29</v>
      </c>
      <c r="E110" s="2">
        <v>1.6701388888888888</v>
      </c>
      <c r="F110" s="2">
        <v>1.754861111111111</v>
      </c>
      <c r="G110" s="3">
        <v>2.0333329999999998</v>
      </c>
      <c r="H110" t="s">
        <v>122</v>
      </c>
      <c r="J110" s="3">
        <f t="shared" si="4"/>
        <v>1.3333329999999999</v>
      </c>
      <c r="K110" s="3">
        <v>0.7</v>
      </c>
      <c r="L110" s="3">
        <f t="shared" si="5"/>
        <v>0</v>
      </c>
    </row>
    <row r="111" spans="1:12" x14ac:dyDescent="0.25">
      <c r="A111" s="1">
        <v>46227</v>
      </c>
      <c r="B111" t="s">
        <v>14</v>
      </c>
      <c r="C111" t="s">
        <v>15</v>
      </c>
      <c r="D111" t="s">
        <v>29</v>
      </c>
      <c r="E111" s="2">
        <v>1.8020833333333335</v>
      </c>
      <c r="F111" s="2">
        <v>1.8881944444444443</v>
      </c>
      <c r="G111" s="3">
        <v>2.0666660000000001</v>
      </c>
      <c r="H111" t="s">
        <v>123</v>
      </c>
      <c r="J111" s="3">
        <f t="shared" si="4"/>
        <v>0.86666600000000016</v>
      </c>
      <c r="K111" s="3">
        <v>1.2</v>
      </c>
      <c r="L111" s="3">
        <f t="shared" si="5"/>
        <v>0</v>
      </c>
    </row>
    <row r="112" spans="1:12" x14ac:dyDescent="0.25">
      <c r="A112" s="1">
        <v>46227</v>
      </c>
      <c r="B112" t="s">
        <v>14</v>
      </c>
      <c r="C112" t="s">
        <v>15</v>
      </c>
      <c r="D112" t="s">
        <v>29</v>
      </c>
      <c r="E112" s="2">
        <v>1.5847222222222221</v>
      </c>
      <c r="F112" s="2">
        <v>1.6701388888888888</v>
      </c>
      <c r="G112" s="3">
        <v>2.0499999999999998</v>
      </c>
      <c r="H112" t="s">
        <v>124</v>
      </c>
      <c r="J112" s="3">
        <f t="shared" si="4"/>
        <v>0.64999999999999991</v>
      </c>
      <c r="K112" s="3">
        <v>1.4</v>
      </c>
      <c r="L112" s="3">
        <f t="shared" si="5"/>
        <v>0</v>
      </c>
    </row>
    <row r="113" spans="1:12" x14ac:dyDescent="0.25">
      <c r="A113" s="1">
        <v>46227</v>
      </c>
      <c r="B113" t="s">
        <v>14</v>
      </c>
      <c r="C113" t="s">
        <v>15</v>
      </c>
      <c r="D113" t="s">
        <v>29</v>
      </c>
      <c r="E113" s="2">
        <v>1.8881944444444443</v>
      </c>
      <c r="F113" s="2">
        <v>1.9722222222222223</v>
      </c>
      <c r="G113" s="3">
        <v>2.0166659999999998</v>
      </c>
      <c r="H113" t="s">
        <v>125</v>
      </c>
      <c r="J113" s="3">
        <f t="shared" si="4"/>
        <v>0.61666599999999994</v>
      </c>
      <c r="K113" s="3">
        <v>1.4</v>
      </c>
      <c r="L113" s="3">
        <f t="shared" si="5"/>
        <v>0</v>
      </c>
    </row>
    <row r="114" spans="1:12" x14ac:dyDescent="0.25">
      <c r="A114" s="1">
        <v>46230</v>
      </c>
      <c r="B114" t="s">
        <v>14</v>
      </c>
      <c r="C114" t="s">
        <v>15</v>
      </c>
      <c r="D114" t="s">
        <v>29</v>
      </c>
      <c r="E114" s="2">
        <v>1.4034722222222222</v>
      </c>
      <c r="F114" s="2">
        <v>1.4895833333333333</v>
      </c>
      <c r="G114" s="3">
        <v>2.0666660000000001</v>
      </c>
      <c r="H114" t="s">
        <v>126</v>
      </c>
      <c r="J114" s="3">
        <f t="shared" si="4"/>
        <v>1.0666660000000001</v>
      </c>
      <c r="K114" s="3">
        <v>1</v>
      </c>
      <c r="L114" s="3">
        <f t="shared" si="5"/>
        <v>0</v>
      </c>
    </row>
    <row r="115" spans="1:12" x14ac:dyDescent="0.25">
      <c r="A115" s="1">
        <v>46230</v>
      </c>
      <c r="B115" t="s">
        <v>14</v>
      </c>
      <c r="C115" t="s">
        <v>15</v>
      </c>
      <c r="D115" t="s">
        <v>29</v>
      </c>
      <c r="E115" s="2">
        <v>1.7124999999999999</v>
      </c>
      <c r="F115" s="2">
        <v>1.7979166666666666</v>
      </c>
      <c r="G115" s="3">
        <v>2.0499999999999998</v>
      </c>
      <c r="H115" t="s">
        <v>127</v>
      </c>
      <c r="J115" s="3">
        <f t="shared" si="4"/>
        <v>1.0499999999999998</v>
      </c>
      <c r="K115" s="3">
        <v>1</v>
      </c>
      <c r="L115" s="3">
        <f t="shared" si="5"/>
        <v>0</v>
      </c>
    </row>
    <row r="116" spans="1:12" x14ac:dyDescent="0.25">
      <c r="A116" s="1">
        <v>46230</v>
      </c>
      <c r="B116" t="s">
        <v>14</v>
      </c>
      <c r="C116" t="s">
        <v>15</v>
      </c>
      <c r="D116" t="s">
        <v>29</v>
      </c>
      <c r="E116" s="2">
        <v>1.4895833333333333</v>
      </c>
      <c r="F116" s="2">
        <v>1.5777777777777777</v>
      </c>
      <c r="G116" s="3">
        <v>2.1166659999999999</v>
      </c>
      <c r="H116" t="s">
        <v>128</v>
      </c>
      <c r="J116" s="3">
        <f t="shared" si="4"/>
        <v>1.3166659999999999</v>
      </c>
      <c r="K116" s="3">
        <v>0.8</v>
      </c>
      <c r="L116" s="3">
        <f t="shared" si="5"/>
        <v>0</v>
      </c>
    </row>
    <row r="117" spans="1:12" x14ac:dyDescent="0.25">
      <c r="A117" s="1">
        <v>46230</v>
      </c>
      <c r="B117" t="s">
        <v>14</v>
      </c>
      <c r="C117" t="s">
        <v>15</v>
      </c>
      <c r="D117" t="s">
        <v>29</v>
      </c>
      <c r="E117" s="2">
        <v>1.6229166666666668</v>
      </c>
      <c r="F117" s="2">
        <v>1.7124999999999999</v>
      </c>
      <c r="G117" s="3">
        <v>2.15</v>
      </c>
      <c r="H117" t="s">
        <v>129</v>
      </c>
      <c r="J117" s="3">
        <f t="shared" si="4"/>
        <v>0.54999999999999982</v>
      </c>
      <c r="K117" s="3">
        <v>1.6</v>
      </c>
      <c r="L117" s="3">
        <f t="shared" si="5"/>
        <v>0</v>
      </c>
    </row>
    <row r="118" spans="1:12" x14ac:dyDescent="0.25">
      <c r="A118" s="1">
        <v>46230</v>
      </c>
      <c r="B118" t="s">
        <v>65</v>
      </c>
      <c r="C118" t="s">
        <v>15</v>
      </c>
      <c r="D118" t="s">
        <v>29</v>
      </c>
      <c r="E118" s="2">
        <v>1.6666666666666665</v>
      </c>
      <c r="F118" s="2">
        <v>1.6972222222222222</v>
      </c>
      <c r="G118" s="3">
        <v>0.73333300000000001</v>
      </c>
      <c r="H118" t="s">
        <v>130</v>
      </c>
      <c r="J118" s="3">
        <v>0.73333300000000001</v>
      </c>
      <c r="L118" s="3">
        <f t="shared" si="5"/>
        <v>0</v>
      </c>
    </row>
    <row r="119" spans="1:12" x14ac:dyDescent="0.25">
      <c r="A119" s="1">
        <v>46231</v>
      </c>
      <c r="B119" t="s">
        <v>14</v>
      </c>
      <c r="C119" t="s">
        <v>15</v>
      </c>
      <c r="D119" t="s">
        <v>29</v>
      </c>
      <c r="E119" s="2">
        <v>1.6590277777777778</v>
      </c>
      <c r="F119" s="2">
        <v>1.745138888888889</v>
      </c>
      <c r="G119" s="3">
        <v>2.0666660000000001</v>
      </c>
      <c r="H119" t="s">
        <v>131</v>
      </c>
      <c r="J119" s="3">
        <f t="shared" si="4"/>
        <v>1.2666660000000001</v>
      </c>
      <c r="K119" s="3">
        <v>0.8</v>
      </c>
      <c r="L119" s="3">
        <f t="shared" si="5"/>
        <v>0</v>
      </c>
    </row>
    <row r="120" spans="1:12" x14ac:dyDescent="0.25">
      <c r="A120" s="1">
        <v>46231</v>
      </c>
      <c r="B120" t="s">
        <v>14</v>
      </c>
      <c r="C120" t="s">
        <v>15</v>
      </c>
      <c r="D120" t="s">
        <v>29</v>
      </c>
      <c r="E120" s="2">
        <v>1.9666666666666668</v>
      </c>
      <c r="F120" s="2">
        <v>1.9993055555555554</v>
      </c>
      <c r="G120" s="3">
        <v>0.78333299999999995</v>
      </c>
      <c r="H120" t="s">
        <v>132</v>
      </c>
      <c r="J120" s="3">
        <v>0.78333299999999995</v>
      </c>
      <c r="L120" s="3">
        <f t="shared" si="5"/>
        <v>0</v>
      </c>
    </row>
    <row r="121" spans="1:12" x14ac:dyDescent="0.25">
      <c r="A121" s="1">
        <v>46231</v>
      </c>
      <c r="B121" t="s">
        <v>14</v>
      </c>
      <c r="C121" t="s">
        <v>15</v>
      </c>
      <c r="D121" t="s">
        <v>29</v>
      </c>
      <c r="E121" s="2">
        <v>1.745138888888889</v>
      </c>
      <c r="F121" s="2">
        <v>1.8354166666666667</v>
      </c>
      <c r="G121" s="3">
        <v>2.1666660000000002</v>
      </c>
      <c r="H121" t="s">
        <v>133</v>
      </c>
      <c r="J121" s="3">
        <f t="shared" si="4"/>
        <v>1.0666660000000001</v>
      </c>
      <c r="K121" s="3">
        <v>1.1000000000000001</v>
      </c>
      <c r="L121" s="3">
        <f t="shared" si="5"/>
        <v>0</v>
      </c>
    </row>
    <row r="122" spans="1:12" x14ac:dyDescent="0.25">
      <c r="A122" s="1">
        <v>46231</v>
      </c>
      <c r="B122" t="s">
        <v>14</v>
      </c>
      <c r="C122" t="s">
        <v>15</v>
      </c>
      <c r="D122" t="s">
        <v>29</v>
      </c>
      <c r="E122" s="2">
        <v>1.8805555555555555</v>
      </c>
      <c r="F122" s="2">
        <v>1.9666666666666668</v>
      </c>
      <c r="G122" s="3">
        <v>2.0666660000000001</v>
      </c>
      <c r="H122" t="s">
        <v>134</v>
      </c>
      <c r="J122" s="3">
        <f t="shared" si="4"/>
        <v>0.86666600000000016</v>
      </c>
      <c r="K122" s="3">
        <v>1.2</v>
      </c>
      <c r="L122" s="3">
        <f t="shared" si="5"/>
        <v>0</v>
      </c>
    </row>
    <row r="123" spans="1:12" x14ac:dyDescent="0.25">
      <c r="A123" s="1">
        <v>46231</v>
      </c>
      <c r="B123" t="s">
        <v>9</v>
      </c>
      <c r="C123" t="s">
        <v>10</v>
      </c>
      <c r="D123" t="s">
        <v>34</v>
      </c>
      <c r="E123" s="2">
        <v>1.7770833333333333</v>
      </c>
      <c r="F123" s="2">
        <v>1.8166666666666667</v>
      </c>
      <c r="G123" s="3">
        <v>0.95</v>
      </c>
      <c r="H123" t="s">
        <v>135</v>
      </c>
      <c r="I123" t="s">
        <v>13</v>
      </c>
      <c r="L123" s="3">
        <f t="shared" si="5"/>
        <v>0.95</v>
      </c>
    </row>
    <row r="124" spans="1:12" x14ac:dyDescent="0.25">
      <c r="A124" s="1">
        <v>46231</v>
      </c>
      <c r="B124" t="s">
        <v>9</v>
      </c>
      <c r="C124" t="s">
        <v>10</v>
      </c>
      <c r="D124" t="s">
        <v>34</v>
      </c>
      <c r="E124" s="2">
        <v>1.9416666666666667</v>
      </c>
      <c r="F124" s="2">
        <v>1.9993055555555554</v>
      </c>
      <c r="G124" s="3">
        <v>1.3833329999999999</v>
      </c>
      <c r="H124" t="s">
        <v>136</v>
      </c>
      <c r="I124" t="s">
        <v>13</v>
      </c>
      <c r="L124" s="3">
        <f t="shared" si="5"/>
        <v>1.3833329999999999</v>
      </c>
    </row>
    <row r="125" spans="1:12" x14ac:dyDescent="0.25">
      <c r="A125" s="1">
        <v>46232</v>
      </c>
      <c r="B125" t="s">
        <v>14</v>
      </c>
      <c r="C125" t="s">
        <v>15</v>
      </c>
      <c r="D125" t="s">
        <v>29</v>
      </c>
      <c r="E125" s="2">
        <v>1.5944444444444446</v>
      </c>
      <c r="F125" s="2">
        <v>1.6812499999999999</v>
      </c>
      <c r="G125" s="3">
        <v>2.0833330000000001</v>
      </c>
      <c r="H125" t="s">
        <v>137</v>
      </c>
      <c r="J125" s="3">
        <f t="shared" si="4"/>
        <v>0.78333300000000006</v>
      </c>
      <c r="K125" s="3">
        <v>1.3</v>
      </c>
      <c r="L125" s="3">
        <f t="shared" si="5"/>
        <v>0</v>
      </c>
    </row>
    <row r="126" spans="1:12" x14ac:dyDescent="0.25">
      <c r="A126" s="1">
        <v>46232</v>
      </c>
      <c r="B126" t="s">
        <v>14</v>
      </c>
      <c r="C126" t="s">
        <v>15</v>
      </c>
      <c r="D126" t="s">
        <v>29</v>
      </c>
      <c r="E126" s="2">
        <v>1.7270833333333333</v>
      </c>
      <c r="F126" s="2">
        <v>1.8125</v>
      </c>
      <c r="G126" s="3">
        <v>2.0499999999999998</v>
      </c>
      <c r="H126" t="s">
        <v>138</v>
      </c>
      <c r="J126" s="3">
        <f t="shared" si="4"/>
        <v>1.1499999999999999</v>
      </c>
      <c r="K126" s="3">
        <v>0.9</v>
      </c>
      <c r="L126" s="3">
        <f t="shared" si="5"/>
        <v>0</v>
      </c>
    </row>
    <row r="127" spans="1:12" x14ac:dyDescent="0.25">
      <c r="A127" s="1">
        <v>46232</v>
      </c>
      <c r="B127" t="s">
        <v>9</v>
      </c>
      <c r="C127" t="s">
        <v>10</v>
      </c>
      <c r="D127" t="s">
        <v>34</v>
      </c>
      <c r="E127" s="2">
        <v>1</v>
      </c>
      <c r="F127" s="2">
        <v>1.0451388888888888</v>
      </c>
      <c r="G127" s="3">
        <v>1.0833330000000001</v>
      </c>
      <c r="H127" t="s">
        <v>139</v>
      </c>
      <c r="I127" t="s">
        <v>13</v>
      </c>
      <c r="L127" s="3">
        <f t="shared" si="5"/>
        <v>1.0833330000000001</v>
      </c>
    </row>
    <row r="128" spans="1:12" x14ac:dyDescent="0.25">
      <c r="A128" s="1">
        <v>46232</v>
      </c>
      <c r="B128" t="s">
        <v>9</v>
      </c>
      <c r="C128" t="s">
        <v>10</v>
      </c>
      <c r="D128" t="s">
        <v>34</v>
      </c>
      <c r="E128" s="2">
        <v>1.0451388888888888</v>
      </c>
      <c r="F128" s="2">
        <v>1.0854166666666667</v>
      </c>
      <c r="G128" s="3">
        <v>0.96666600000000003</v>
      </c>
      <c r="H128" t="s">
        <v>140</v>
      </c>
      <c r="I128" t="s">
        <v>13</v>
      </c>
      <c r="L128" s="3">
        <f t="shared" si="5"/>
        <v>0.96666600000000003</v>
      </c>
    </row>
    <row r="129" spans="1:12" x14ac:dyDescent="0.25">
      <c r="A129" s="1">
        <v>46232</v>
      </c>
      <c r="B129" t="s">
        <v>9</v>
      </c>
      <c r="C129" t="s">
        <v>10</v>
      </c>
      <c r="D129" t="s">
        <v>34</v>
      </c>
      <c r="E129" s="2">
        <v>1.0854166666666667</v>
      </c>
      <c r="F129" s="2">
        <v>1.1312500000000001</v>
      </c>
      <c r="G129" s="3">
        <v>1.1000000000000001</v>
      </c>
      <c r="H129" t="s">
        <v>141</v>
      </c>
      <c r="I129" t="s">
        <v>13</v>
      </c>
      <c r="L129" s="3">
        <f t="shared" si="5"/>
        <v>1.1000000000000001</v>
      </c>
    </row>
    <row r="130" spans="1:12" x14ac:dyDescent="0.25">
      <c r="A130" s="1">
        <v>46232</v>
      </c>
      <c r="B130" t="s">
        <v>14</v>
      </c>
      <c r="C130" t="s">
        <v>15</v>
      </c>
      <c r="D130" t="s">
        <v>29</v>
      </c>
      <c r="E130" s="2">
        <v>1.5097222222222222</v>
      </c>
      <c r="F130" s="2">
        <v>1.5944444444444446</v>
      </c>
      <c r="G130" s="3">
        <v>2.0333329999999998</v>
      </c>
      <c r="H130" t="s">
        <v>142</v>
      </c>
      <c r="J130" s="3">
        <f t="shared" si="4"/>
        <v>0.63333299999999992</v>
      </c>
      <c r="K130" s="3">
        <v>1.4</v>
      </c>
      <c r="L130" s="3">
        <f t="shared" ref="L130:L145" si="6">IF(I130="New",G130,0)</f>
        <v>0</v>
      </c>
    </row>
    <row r="131" spans="1:12" x14ac:dyDescent="0.25">
      <c r="A131" s="1">
        <v>46232</v>
      </c>
      <c r="B131" t="s">
        <v>14</v>
      </c>
      <c r="C131" t="s">
        <v>15</v>
      </c>
      <c r="D131" t="s">
        <v>29</v>
      </c>
      <c r="E131" s="2">
        <v>1.8125</v>
      </c>
      <c r="F131" s="2">
        <v>1.9020833333333333</v>
      </c>
      <c r="G131" s="3">
        <v>2.15</v>
      </c>
      <c r="H131" t="s">
        <v>143</v>
      </c>
      <c r="J131" s="3">
        <f t="shared" ref="J131:J145" si="7">IF(I131="New",0,G131-K131)</f>
        <v>0.84999999999999987</v>
      </c>
      <c r="K131" s="3">
        <v>1.3</v>
      </c>
      <c r="L131" s="3">
        <f t="shared" si="6"/>
        <v>0</v>
      </c>
    </row>
    <row r="132" spans="1:12" x14ac:dyDescent="0.25">
      <c r="A132" s="1">
        <v>46232</v>
      </c>
      <c r="B132" t="s">
        <v>9</v>
      </c>
      <c r="C132" t="s">
        <v>10</v>
      </c>
      <c r="D132" t="s">
        <v>34</v>
      </c>
      <c r="E132" s="2">
        <v>1.5208333333333335</v>
      </c>
      <c r="F132" s="2">
        <v>1.5763888888888888</v>
      </c>
      <c r="G132" s="3">
        <v>1.3333330000000001</v>
      </c>
      <c r="H132" t="s">
        <v>144</v>
      </c>
      <c r="I132" t="s">
        <v>13</v>
      </c>
      <c r="L132" s="3">
        <f t="shared" si="6"/>
        <v>1.3333330000000001</v>
      </c>
    </row>
    <row r="133" spans="1:12" x14ac:dyDescent="0.25">
      <c r="A133" s="1">
        <v>46232</v>
      </c>
      <c r="B133" t="s">
        <v>9</v>
      </c>
      <c r="C133" t="s">
        <v>10</v>
      </c>
      <c r="D133" t="s">
        <v>34</v>
      </c>
      <c r="E133" s="2">
        <v>1.5763888888888888</v>
      </c>
      <c r="F133" s="2">
        <v>1.60625</v>
      </c>
      <c r="G133" s="3">
        <v>0.71666600000000003</v>
      </c>
      <c r="H133" t="s">
        <v>145</v>
      </c>
      <c r="J133" s="3">
        <f t="shared" si="7"/>
        <v>0.71666600000000003</v>
      </c>
      <c r="L133" s="3">
        <f t="shared" si="6"/>
        <v>0</v>
      </c>
    </row>
    <row r="134" spans="1:12" x14ac:dyDescent="0.25">
      <c r="A134" s="1">
        <v>46233</v>
      </c>
      <c r="B134" t="s">
        <v>14</v>
      </c>
      <c r="C134" t="s">
        <v>15</v>
      </c>
      <c r="D134" t="s">
        <v>16</v>
      </c>
      <c r="E134" s="2">
        <v>1.4152777777777779</v>
      </c>
      <c r="F134" s="2">
        <v>1.5034722222222223</v>
      </c>
      <c r="G134" s="3">
        <v>2.1166659999999999</v>
      </c>
      <c r="H134" t="s">
        <v>146</v>
      </c>
      <c r="J134" s="3">
        <f t="shared" si="7"/>
        <v>1.216666</v>
      </c>
      <c r="K134" s="3">
        <v>0.9</v>
      </c>
      <c r="L134" s="3">
        <f t="shared" si="6"/>
        <v>0</v>
      </c>
    </row>
    <row r="135" spans="1:12" x14ac:dyDescent="0.25">
      <c r="A135" s="1">
        <v>46233</v>
      </c>
      <c r="B135" t="s">
        <v>14</v>
      </c>
      <c r="C135" t="s">
        <v>15</v>
      </c>
      <c r="D135" t="s">
        <v>16</v>
      </c>
      <c r="E135" s="2">
        <v>1.5034722222222223</v>
      </c>
      <c r="F135" s="2">
        <v>1.5895833333333333</v>
      </c>
      <c r="G135" s="3">
        <v>2.0666660000000001</v>
      </c>
      <c r="H135" t="s">
        <v>147</v>
      </c>
      <c r="J135" s="3">
        <f t="shared" si="7"/>
        <v>0.86666600000000016</v>
      </c>
      <c r="K135" s="3">
        <v>1.2</v>
      </c>
      <c r="L135" s="3">
        <f t="shared" si="6"/>
        <v>0</v>
      </c>
    </row>
    <row r="136" spans="1:12" x14ac:dyDescent="0.25">
      <c r="A136" s="1">
        <v>46233</v>
      </c>
      <c r="B136" t="s">
        <v>14</v>
      </c>
      <c r="C136" t="s">
        <v>15</v>
      </c>
      <c r="D136" t="s">
        <v>16</v>
      </c>
      <c r="E136" s="2">
        <v>1.6423611111111112</v>
      </c>
      <c r="F136" s="2">
        <v>1.73125</v>
      </c>
      <c r="G136" s="3">
        <v>2.1333329999999999</v>
      </c>
      <c r="H136" t="s">
        <v>148</v>
      </c>
      <c r="J136" s="3">
        <f t="shared" si="7"/>
        <v>1.3333329999999999</v>
      </c>
      <c r="K136" s="3">
        <v>0.8</v>
      </c>
      <c r="L136" s="3">
        <f t="shared" si="6"/>
        <v>0</v>
      </c>
    </row>
    <row r="137" spans="1:12" x14ac:dyDescent="0.25">
      <c r="A137" s="1">
        <v>46233</v>
      </c>
      <c r="B137" t="s">
        <v>14</v>
      </c>
      <c r="C137" t="s">
        <v>15</v>
      </c>
      <c r="D137" t="s">
        <v>16</v>
      </c>
      <c r="E137" s="2">
        <v>1.73125</v>
      </c>
      <c r="F137" s="2">
        <v>1.8187500000000001</v>
      </c>
      <c r="G137" s="3">
        <v>2.1</v>
      </c>
      <c r="H137" t="s">
        <v>149</v>
      </c>
      <c r="J137" s="3">
        <f t="shared" si="7"/>
        <v>1.1000000000000001</v>
      </c>
      <c r="K137" s="3">
        <v>1</v>
      </c>
      <c r="L137" s="3">
        <f t="shared" si="6"/>
        <v>0</v>
      </c>
    </row>
    <row r="138" spans="1:12" x14ac:dyDescent="0.25">
      <c r="A138" s="1">
        <v>46233</v>
      </c>
      <c r="B138" t="s">
        <v>9</v>
      </c>
      <c r="C138" t="s">
        <v>10</v>
      </c>
      <c r="D138" t="s">
        <v>34</v>
      </c>
      <c r="E138" s="2">
        <v>1.4479166666666667</v>
      </c>
      <c r="F138" s="2">
        <v>1.5222222222222221</v>
      </c>
      <c r="G138" s="3">
        <v>1.7833330000000001</v>
      </c>
      <c r="H138" t="s">
        <v>150</v>
      </c>
      <c r="J138" s="3">
        <f t="shared" si="7"/>
        <v>1.7833330000000001</v>
      </c>
      <c r="L138" s="3">
        <f t="shared" si="6"/>
        <v>0</v>
      </c>
    </row>
    <row r="139" spans="1:12" x14ac:dyDescent="0.25">
      <c r="A139" s="1">
        <v>46233</v>
      </c>
      <c r="B139" t="s">
        <v>9</v>
      </c>
      <c r="C139" t="s">
        <v>10</v>
      </c>
      <c r="D139" t="s">
        <v>34</v>
      </c>
      <c r="E139" s="2">
        <v>1.5659722222222223</v>
      </c>
      <c r="F139" s="2">
        <v>1.588888888888889</v>
      </c>
      <c r="G139" s="3">
        <v>0.55000000000000004</v>
      </c>
      <c r="H139" t="s">
        <v>151</v>
      </c>
      <c r="J139" s="3">
        <f t="shared" si="7"/>
        <v>0.55000000000000004</v>
      </c>
      <c r="L139" s="3">
        <f t="shared" si="6"/>
        <v>0</v>
      </c>
    </row>
    <row r="140" spans="1:12" x14ac:dyDescent="0.25">
      <c r="A140" s="1">
        <v>46233</v>
      </c>
      <c r="B140" t="s">
        <v>9</v>
      </c>
      <c r="C140" t="s">
        <v>10</v>
      </c>
      <c r="D140" t="s">
        <v>34</v>
      </c>
      <c r="E140" s="2">
        <v>1.6305555555555555</v>
      </c>
      <c r="F140" s="2">
        <v>1.6777777777777778</v>
      </c>
      <c r="G140" s="3">
        <v>1.1333329999999999</v>
      </c>
      <c r="H140" t="s">
        <v>152</v>
      </c>
      <c r="J140" s="3">
        <f t="shared" si="7"/>
        <v>1.1333329999999999</v>
      </c>
      <c r="L140" s="3">
        <f t="shared" si="6"/>
        <v>0</v>
      </c>
    </row>
    <row r="141" spans="1:12" x14ac:dyDescent="0.25">
      <c r="A141" s="1">
        <v>46233</v>
      </c>
      <c r="B141" t="s">
        <v>9</v>
      </c>
      <c r="C141" t="s">
        <v>10</v>
      </c>
      <c r="D141" t="s">
        <v>34</v>
      </c>
      <c r="E141" s="2">
        <v>1.7</v>
      </c>
      <c r="F141" s="2">
        <v>1.7569444444444444</v>
      </c>
      <c r="G141" s="3">
        <v>1.3666659999999999</v>
      </c>
      <c r="H141" t="s">
        <v>153</v>
      </c>
      <c r="J141" s="3">
        <f t="shared" si="7"/>
        <v>1.3666659999999999</v>
      </c>
      <c r="L141" s="3">
        <f t="shared" si="6"/>
        <v>0</v>
      </c>
    </row>
    <row r="142" spans="1:12" x14ac:dyDescent="0.25">
      <c r="A142" s="1">
        <v>46234</v>
      </c>
      <c r="B142" t="s">
        <v>14</v>
      </c>
      <c r="C142" t="s">
        <v>15</v>
      </c>
      <c r="D142" t="s">
        <v>16</v>
      </c>
      <c r="E142" s="2">
        <v>1.4347222222222222</v>
      </c>
      <c r="F142" s="2">
        <v>1.5215277777777778</v>
      </c>
      <c r="G142" s="3">
        <v>2.0833330000000001</v>
      </c>
      <c r="H142" t="s">
        <v>154</v>
      </c>
      <c r="J142" s="3">
        <f t="shared" si="7"/>
        <v>0.88333300000000015</v>
      </c>
      <c r="K142" s="3">
        <v>1.2</v>
      </c>
      <c r="L142" s="3">
        <f t="shared" si="6"/>
        <v>0</v>
      </c>
    </row>
    <row r="143" spans="1:12" x14ac:dyDescent="0.25">
      <c r="A143" s="1">
        <v>46234</v>
      </c>
      <c r="B143" t="s">
        <v>14</v>
      </c>
      <c r="C143" t="s">
        <v>15</v>
      </c>
      <c r="D143" t="s">
        <v>16</v>
      </c>
      <c r="E143" s="2">
        <v>1.5215277777777778</v>
      </c>
      <c r="F143" s="2">
        <v>1.6076388888888888</v>
      </c>
      <c r="G143" s="3">
        <v>2.0666660000000001</v>
      </c>
      <c r="H143" t="s">
        <v>155</v>
      </c>
      <c r="J143" s="3">
        <f t="shared" si="7"/>
        <v>0.86666600000000016</v>
      </c>
      <c r="K143" s="3">
        <v>1.2</v>
      </c>
      <c r="L143" s="3">
        <f t="shared" si="6"/>
        <v>0</v>
      </c>
    </row>
    <row r="144" spans="1:12" x14ac:dyDescent="0.25">
      <c r="A144" s="1">
        <v>46234</v>
      </c>
      <c r="B144" t="s">
        <v>9</v>
      </c>
      <c r="C144" t="s">
        <v>10</v>
      </c>
      <c r="D144" t="s">
        <v>34</v>
      </c>
      <c r="E144" s="2">
        <v>1.0784722222222223</v>
      </c>
      <c r="F144" s="2">
        <v>1.1020833333333333</v>
      </c>
      <c r="G144" s="3">
        <v>0.566666</v>
      </c>
      <c r="H144" t="s">
        <v>156</v>
      </c>
      <c r="J144" s="3">
        <f t="shared" si="7"/>
        <v>0.566666</v>
      </c>
      <c r="L144" s="3">
        <f t="shared" si="6"/>
        <v>0</v>
      </c>
    </row>
    <row r="145" spans="1:13" x14ac:dyDescent="0.25">
      <c r="A145" s="1">
        <v>46234</v>
      </c>
      <c r="B145" t="s">
        <v>65</v>
      </c>
      <c r="C145" t="s">
        <v>15</v>
      </c>
      <c r="D145" t="s">
        <v>157</v>
      </c>
      <c r="E145" s="2">
        <v>1.59375</v>
      </c>
      <c r="F145" s="2">
        <v>1.6666666666666665</v>
      </c>
      <c r="G145" s="3">
        <v>1.75</v>
      </c>
      <c r="H145" t="s">
        <v>158</v>
      </c>
      <c r="J145" s="3">
        <f t="shared" si="7"/>
        <v>0.85</v>
      </c>
      <c r="K145" s="3">
        <v>0.9</v>
      </c>
      <c r="L145" s="3">
        <f t="shared" si="6"/>
        <v>0</v>
      </c>
    </row>
    <row r="146" spans="1:13" s="7" customFormat="1" x14ac:dyDescent="0.25">
      <c r="A146" s="6"/>
      <c r="E146" s="8"/>
      <c r="F146" s="8"/>
      <c r="G146" s="9">
        <f>SUM(G2:G145)</f>
        <v>239.69995500000007</v>
      </c>
      <c r="J146" s="9">
        <f>SUM(J2:J145)</f>
        <v>101.64996699999995</v>
      </c>
      <c r="K146" s="9">
        <f>SUM(K2:K145)</f>
        <v>92.200000000000031</v>
      </c>
      <c r="L146" s="9">
        <f>SUM(L2:L145)</f>
        <v>45.84998800000001</v>
      </c>
      <c r="M146" s="10">
        <f>SUM(J146:L146)</f>
        <v>239.69995499999999</v>
      </c>
    </row>
    <row r="152" spans="1:13" x14ac:dyDescent="0.25">
      <c r="C152" t="s">
        <v>15</v>
      </c>
      <c r="D152">
        <f ca="1">SUMIF(C2:G145,C152,G:G)</f>
        <v>153.46663699999996</v>
      </c>
    </row>
    <row r="153" spans="1:13" x14ac:dyDescent="0.25">
      <c r="C153" t="s">
        <v>10</v>
      </c>
      <c r="D153">
        <f ca="1">SUMIF(C2:G145,C153,G:G)</f>
        <v>84.483317999999969</v>
      </c>
    </row>
  </sheetData>
  <autoFilter ref="A1:L146" xr:uid="{80B3CFF7-2A09-4115-B0C4-783D3DFFA9A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B6F2E-3505-412D-8298-84F6E0F37BFB}">
  <dimension ref="A1:B26"/>
  <sheetViews>
    <sheetView workbookViewId="0">
      <selection activeCell="B1" sqref="B1:B1048576"/>
    </sheetView>
  </sheetViews>
  <sheetFormatPr defaultRowHeight="15" x14ac:dyDescent="0.25"/>
  <cols>
    <col min="1" max="1" width="10.140625" bestFit="1" customWidth="1"/>
    <col min="2" max="2" width="9.140625" style="5"/>
  </cols>
  <sheetData>
    <row r="1" spans="1:2" x14ac:dyDescent="0.25">
      <c r="A1" s="1" t="s">
        <v>0</v>
      </c>
    </row>
    <row r="2" spans="1:2" x14ac:dyDescent="0.25">
      <c r="A2" s="1">
        <v>46204</v>
      </c>
      <c r="B2" s="5">
        <f>SUMIFS(Sheet1!G:G,Sheet1!B:B,"=Reymart",Sheet1!A:A,Sheet2!A2)</f>
        <v>8.4999990000000007</v>
      </c>
    </row>
    <row r="3" spans="1:2" x14ac:dyDescent="0.25">
      <c r="A3" s="1">
        <v>46205</v>
      </c>
      <c r="B3" s="5">
        <f>SUMIFS(Sheet1!G:G,Sheet1!B:B,"=Reymart",Sheet1!A:A,Sheet2!A3)</f>
        <v>8.6499980000000001</v>
      </c>
    </row>
    <row r="4" spans="1:2" x14ac:dyDescent="0.25">
      <c r="A4" s="1">
        <v>46206</v>
      </c>
      <c r="B4" s="5">
        <f>SUMIFS(Sheet1!G:G,Sheet1!B:B,"=Reymart",Sheet1!A:A,Sheet2!A4)</f>
        <v>8.4833309999999997</v>
      </c>
    </row>
    <row r="5" spans="1:2" x14ac:dyDescent="0.25">
      <c r="A5" s="1">
        <v>46209</v>
      </c>
      <c r="B5" s="5">
        <f>SUMIFS(Sheet1!G:G,Sheet1!B:B,"=Reymart",Sheet1!A:A,Sheet2!A5)</f>
        <v>8.6333310000000001</v>
      </c>
    </row>
    <row r="6" spans="1:2" x14ac:dyDescent="0.25">
      <c r="A6" s="1">
        <v>46210</v>
      </c>
      <c r="B6" s="5">
        <f>SUMIFS(Sheet1!G:G,Sheet1!B:B,"=Reymart",Sheet1!A:A,Sheet2!A6)</f>
        <v>8.5499989999999997</v>
      </c>
    </row>
    <row r="7" spans="1:2" x14ac:dyDescent="0.25">
      <c r="A7" s="1">
        <v>46211</v>
      </c>
      <c r="B7" s="5">
        <f>SUMIFS(Sheet1!G:G,Sheet1!B:B,"=Reymart",Sheet1!A:A,Sheet2!A7)</f>
        <v>8.5333330000000007</v>
      </c>
    </row>
    <row r="8" spans="1:2" x14ac:dyDescent="0.25">
      <c r="A8" s="1">
        <v>46212</v>
      </c>
      <c r="B8" s="5">
        <f>SUMIFS(Sheet1!G:G,Sheet1!B:B,"=Reymart",Sheet1!A:A,Sheet2!A8)</f>
        <v>4.3333329999999997</v>
      </c>
    </row>
    <row r="9" spans="1:2" x14ac:dyDescent="0.25">
      <c r="A9" s="1">
        <v>46213</v>
      </c>
      <c r="B9" s="5">
        <f>SUMIFS(Sheet1!G:G,Sheet1!B:B,"=Reymart",Sheet1!A:A,Sheet2!A9)</f>
        <v>0</v>
      </c>
    </row>
    <row r="10" spans="1:2" x14ac:dyDescent="0.25">
      <c r="A10" s="1">
        <v>46214</v>
      </c>
      <c r="B10" s="5">
        <f>SUMIFS(Sheet1!G:G,Sheet1!B:B,"=Reymart",Sheet1!A:A,Sheet2!A10)</f>
        <v>0</v>
      </c>
    </row>
    <row r="11" spans="1:2" x14ac:dyDescent="0.25">
      <c r="A11" s="1">
        <v>46216</v>
      </c>
      <c r="B11" s="5">
        <f>SUMIFS(Sheet1!G:G,Sheet1!B:B,"=Reymart",Sheet1!A:A,Sheet2!A11)</f>
        <v>4.233333</v>
      </c>
    </row>
    <row r="12" spans="1:2" x14ac:dyDescent="0.25">
      <c r="A12" s="1">
        <v>46217</v>
      </c>
      <c r="B12" s="5">
        <f>SUMIFS(Sheet1!G:G,Sheet1!B:B,"=Reymart",Sheet1!A:A,Sheet2!A12)</f>
        <v>8.3666650000000011</v>
      </c>
    </row>
    <row r="13" spans="1:2" x14ac:dyDescent="0.25">
      <c r="A13" s="1">
        <v>46218</v>
      </c>
      <c r="B13" s="5">
        <f>SUMIFS(Sheet1!G:G,Sheet1!B:B,"=Reymart",Sheet1!A:A,Sheet2!A13)</f>
        <v>8.449999</v>
      </c>
    </row>
    <row r="14" spans="1:2" x14ac:dyDescent="0.25">
      <c r="A14" s="1">
        <v>46219</v>
      </c>
      <c r="B14" s="5">
        <f>SUMIFS(Sheet1!G:G,Sheet1!B:B,"=Reymart",Sheet1!A:A,Sheet2!A14)</f>
        <v>8.4999990000000007</v>
      </c>
    </row>
    <row r="15" spans="1:2" x14ac:dyDescent="0.25">
      <c r="A15" s="1">
        <v>46220</v>
      </c>
      <c r="B15" s="5">
        <f>SUMIFS(Sheet1!G:G,Sheet1!B:B,"=Reymart",Sheet1!A:A,Sheet2!A15)</f>
        <v>8.3666649999999994</v>
      </c>
    </row>
    <row r="16" spans="1:2" x14ac:dyDescent="0.25">
      <c r="A16" s="1">
        <v>46223</v>
      </c>
      <c r="B16" s="5">
        <f>SUMIFS(Sheet1!G:G,Sheet1!B:B,"=Reymart",Sheet1!A:A,Sheet2!A16)</f>
        <v>6.3166659999999997</v>
      </c>
    </row>
    <row r="17" spans="1:2" x14ac:dyDescent="0.25">
      <c r="A17" s="1">
        <v>46224</v>
      </c>
      <c r="B17" s="5">
        <f>SUMIFS(Sheet1!G:G,Sheet1!B:B,"=Reymart",Sheet1!A:A,Sheet2!A17)</f>
        <v>8.4499980000000008</v>
      </c>
    </row>
    <row r="18" spans="1:2" x14ac:dyDescent="0.25">
      <c r="A18" s="1">
        <v>46225</v>
      </c>
      <c r="B18" s="5">
        <f>SUMIFS(Sheet1!G:G,Sheet1!B:B,"=Reymart",Sheet1!A:A,Sheet2!A18)</f>
        <v>8.4166660000000011</v>
      </c>
    </row>
    <row r="19" spans="1:2" x14ac:dyDescent="0.25">
      <c r="A19" s="1">
        <v>46226</v>
      </c>
      <c r="B19" s="5">
        <f>SUMIFS(Sheet1!G:G,Sheet1!B:B,"=Reymart",Sheet1!A:A,Sheet2!A19)</f>
        <v>8.3999989999999993</v>
      </c>
    </row>
    <row r="20" spans="1:2" x14ac:dyDescent="0.25">
      <c r="A20" s="1">
        <v>46227</v>
      </c>
      <c r="B20" s="5">
        <f>SUMIFS(Sheet1!G:G,Sheet1!B:B,"=Reymart",Sheet1!A:A,Sheet2!A20)</f>
        <v>8.1666650000000001</v>
      </c>
    </row>
    <row r="21" spans="1:2" x14ac:dyDescent="0.25">
      <c r="A21" s="1">
        <v>46230</v>
      </c>
      <c r="B21" s="5">
        <f>SUMIFS(Sheet1!G:G,Sheet1!B:B,"=Reymart",Sheet1!A:A,Sheet2!A21)</f>
        <v>8.3833320000000011</v>
      </c>
    </row>
    <row r="22" spans="1:2" x14ac:dyDescent="0.25">
      <c r="A22" s="1">
        <v>46231</v>
      </c>
      <c r="B22" s="5">
        <f>SUMIFS(Sheet1!G:G,Sheet1!B:B,"=Reymart",Sheet1!A:A,Sheet2!A22)</f>
        <v>7.0833309999999994</v>
      </c>
    </row>
    <row r="23" spans="1:2" x14ac:dyDescent="0.25">
      <c r="A23" s="1">
        <v>46232</v>
      </c>
      <c r="B23" s="5">
        <f>SUMIFS(Sheet1!G:G,Sheet1!B:B,"=Reymart",Sheet1!A:A,Sheet2!A23)</f>
        <v>8.3166659999999997</v>
      </c>
    </row>
    <row r="24" spans="1:2" x14ac:dyDescent="0.25">
      <c r="A24" s="1">
        <v>46233</v>
      </c>
      <c r="B24" s="5">
        <f>SUMIFS(Sheet1!G:G,Sheet1!B:B,"=Reymart",Sheet1!A:A,Sheet2!A24)</f>
        <v>8.4166650000000001</v>
      </c>
    </row>
    <row r="25" spans="1:2" x14ac:dyDescent="0.25">
      <c r="A25" s="1">
        <v>46234</v>
      </c>
      <c r="B25" s="5">
        <f>SUMIFS(Sheet1!G:G,Sheet1!B:B,"=Reymart",Sheet1!A:A,Sheet2!A25)</f>
        <v>4.1499990000000002</v>
      </c>
    </row>
    <row r="26" spans="1:2" x14ac:dyDescent="0.25">
      <c r="A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Romeo Acidera</dc:creator>
  <cp:keywords/>
  <dc:description/>
  <cp:lastModifiedBy>Romeo Acidera</cp:lastModifiedBy>
  <cp:revision/>
  <dcterms:created xsi:type="dcterms:W3CDTF">2026-08-11T01:22:08Z</dcterms:created>
  <dcterms:modified xsi:type="dcterms:W3CDTF">2026-08-11T05:54:38Z</dcterms:modified>
  <cp:category/>
  <cp:contentStatus/>
</cp:coreProperties>
</file>